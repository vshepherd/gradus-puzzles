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vicki/App developer/Gradus-v2/"/>
    </mc:Choice>
  </mc:AlternateContent>
  <xr:revisionPtr revIDLastSave="0" documentId="8_{64CB4680-3F3A-2B47-BE4D-5995AC45360C}" xr6:coauthVersionLast="47" xr6:coauthVersionMax="47" xr10:uidLastSave="{00000000-0000-0000-0000-000000000000}"/>
  <bookViews>
    <workbookView xWindow="940" yWindow="680" windowWidth="28200" windowHeight="18100" tabRatio="500" xr2:uid="{00000000-000D-0000-FFFF-FFFF00000000}"/>
  </bookViews>
  <sheets>
    <sheet name="Puzzles" sheetId="1" r:id="rId1"/>
    <sheet name="Summary" sheetId="2" r:id="rId2"/>
  </sheets>
  <definedNames>
    <definedName name="_xlnm._FilterDatabase" localSheetId="0" hidden="1">Puzzles!$A$1:$V$97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26" i="2" s="1"/>
  <c r="B6" i="2"/>
  <c r="B5" i="2"/>
  <c r="B4" i="2"/>
  <c r="B3" i="2"/>
</calcChain>
</file>

<file path=xl/sharedStrings.xml><?xml version="1.0" encoding="utf-8"?>
<sst xmlns="http://schemas.openxmlformats.org/spreadsheetml/2006/main" count="1826" uniqueCount="1156">
  <si>
    <t>Day</t>
  </si>
  <si>
    <t>Publish date</t>
  </si>
  <si>
    <t>Origin</t>
  </si>
  <si>
    <t>ID</t>
  </si>
  <si>
    <t>Category</t>
  </si>
  <si>
    <t>Theme</t>
  </si>
  <si>
    <t>Low label</t>
  </si>
  <si>
    <t>High label</t>
  </si>
  <si>
    <t>Item 1</t>
  </si>
  <si>
    <t>Item 2</t>
  </si>
  <si>
    <t>Item 3</t>
  </si>
  <si>
    <t>Item 4</t>
  </si>
  <si>
    <t>Item 5</t>
  </si>
  <si>
    <t>Item 6</t>
  </si>
  <si>
    <t>Source</t>
  </si>
  <si>
    <t>Source URL</t>
  </si>
  <si>
    <t>Verified by</t>
  </si>
  <si>
    <t>Verified date</t>
  </si>
  <si>
    <t>Status</t>
  </si>
  <si>
    <t>Notes</t>
  </si>
  <si>
    <t>Reviewed?</t>
  </si>
  <si>
    <t>Comments</t>
  </si>
  <si>
    <t>2026-08-20</t>
  </si>
  <si>
    <t>New</t>
  </si>
  <si>
    <t>2026-08-20-us-states-population</t>
  </si>
  <si>
    <t>geography</t>
  </si>
  <si>
    <t>US states by population</t>
  </si>
  <si>
    <t>Fewest people</t>
  </si>
  <si>
    <t>Most people</t>
  </si>
  <si>
    <t>Illinois</t>
  </si>
  <si>
    <t>Pennsylvania</t>
  </si>
  <si>
    <t>New York</t>
  </si>
  <si>
    <t>Florida</t>
  </si>
  <si>
    <t>Texas</t>
  </si>
  <si>
    <t>California</t>
  </si>
  <si>
    <t>US Census Bureau, 2020 Census</t>
  </si>
  <si>
    <t>https://www.census.gov/</t>
  </si>
  <si>
    <t>VS</t>
  </si>
  <si>
    <t>approved</t>
  </si>
  <si>
    <t>2020 populations: about 12.8, 13.0, 20.2, 21.5, 29.1 and 39.5 million.</t>
  </si>
  <si>
    <t>No</t>
  </si>
  <si>
    <t>2026-08-21</t>
  </si>
  <si>
    <t>2026-08-27-star-colours-temperature</t>
  </si>
  <si>
    <t>astronomy</t>
  </si>
  <si>
    <t>Star colours by temperature</t>
  </si>
  <si>
    <t>Coolest</t>
  </si>
  <si>
    <t>Hottest</t>
  </si>
  <si>
    <t>Red</t>
  </si>
  <si>
    <t>Orange</t>
  </si>
  <si>
    <t>Yellow</t>
  </si>
  <si>
    <t>White</t>
  </si>
  <si>
    <t>Blue-white</t>
  </si>
  <si>
    <t>Blue</t>
  </si>
  <si>
    <t>Stellar classification (spectral types)</t>
  </si>
  <si>
    <t>https://science.nasa.gov/</t>
  </si>
  <si>
    <t>Cooler stars glow red; the hottest glow blue, from roughly 3,000 K to over 25,000 K.</t>
  </si>
  <si>
    <t>2026-08-22</t>
  </si>
  <si>
    <t>2026-08-28-drinks-alcohol-content</t>
  </si>
  <si>
    <t>culture</t>
  </si>
  <si>
    <t>Drinks by alcohol content</t>
  </si>
  <si>
    <t>Lowest</t>
  </si>
  <si>
    <t>Highest</t>
  </si>
  <si>
    <t>Beer</t>
  </si>
  <si>
    <t>Wine</t>
  </si>
  <si>
    <t>Fortified wine</t>
  </si>
  <si>
    <t>Liqueur</t>
  </si>
  <si>
    <t>Spirits</t>
  </si>
  <si>
    <t>Overproof rum</t>
  </si>
  <si>
    <t>Typical alcohol-by-volume ranges</t>
  </si>
  <si>
    <t>https://www.britannica.com/</t>
  </si>
  <si>
    <t>Roughly 5, 12, 18, 25, 40 and 75 percent alcohol by volume.</t>
  </si>
  <si>
    <t>2026-08-23</t>
  </si>
  <si>
    <t>2026-08-29-lakes-surface-area</t>
  </si>
  <si>
    <t>Lakes by surface area</t>
  </si>
  <si>
    <t>Smallest</t>
  </si>
  <si>
    <t>Largest</t>
  </si>
  <si>
    <t>Great Bear Lake</t>
  </si>
  <si>
    <t>Lake Michigan</t>
  </si>
  <si>
    <t>Lake Huron</t>
  </si>
  <si>
    <t>Lake Victoria</t>
  </si>
  <si>
    <t>Lake Superior</t>
  </si>
  <si>
    <t>Caspian Sea</t>
  </si>
  <si>
    <t>Encyclopaedia Britannica, world's largest lakes</t>
  </si>
  <si>
    <t>https://www.britannica.com/topic/worlds-largest-lakes-2228655</t>
  </si>
  <si>
    <t xml:space="preserve">In square km: Great Bear Lake (31,328); Lake Michigan (57,757); Lake Huron (59,570); Lake Victoria (69,484); Lake Superior (82,100); and the Caspian Sea (149,200), the world’s largest salt lake. </t>
  </si>
  <si>
    <t>2026-08-24</t>
  </si>
  <si>
    <t>2026-08-30-explorers-voyage</t>
  </si>
  <si>
    <t>history</t>
  </si>
  <si>
    <t>Explorers by voyage</t>
  </si>
  <si>
    <t>Earliest</t>
  </si>
  <si>
    <t>Most recent</t>
  </si>
  <si>
    <t>Marco Polo</t>
  </si>
  <si>
    <t>Christopher Columbus</t>
  </si>
  <si>
    <t>Vasco da Gama</t>
  </si>
  <si>
    <t>Ferdinand Magellan</t>
  </si>
  <si>
    <t>James Cook</t>
  </si>
  <si>
    <t>Roald Amundsen</t>
  </si>
  <si>
    <t>Encyclopaedia Britannica, individual biographies</t>
  </si>
  <si>
    <t>https://www.britannica.com/topic/European-exploration/The-Age-of-Discovery</t>
  </si>
  <si>
    <t>By the era of their best-known journeys: c.1271, 1492, 1498, 1519, 1768 and 1911.</t>
  </si>
  <si>
    <t>2026-08-25</t>
  </si>
  <si>
    <t>2026-08-31-nato-officer-ranks</t>
  </si>
  <si>
    <t>military</t>
  </si>
  <si>
    <t>Military officer ranks by NATO seniority code</t>
  </si>
  <si>
    <t>Most junior</t>
  </si>
  <si>
    <t>Most senior</t>
  </si>
  <si>
    <t>Second Lieutenant</t>
  </si>
  <si>
    <t>Captain</t>
  </si>
  <si>
    <t>Major</t>
  </si>
  <si>
    <t>Lieutenant Colonel</t>
  </si>
  <si>
    <t>Colonel</t>
  </si>
  <si>
    <t>Brigadier General</t>
  </si>
  <si>
    <t>NATO STANAG 2116</t>
  </si>
  <si>
    <t>https://en.wikipedia.org/wiki/NATO_military_rank_codes</t>
  </si>
  <si>
    <t>Officer Ranks (OF): OF-1, OF-2, OF-3, OF-4, OF-5, and OF-6 respectively (UK/US Army).</t>
  </si>
  <si>
    <t>2026-08-26</t>
  </si>
  <si>
    <t>2026-09-01-radio-frequency-bands</t>
  </si>
  <si>
    <t>technology</t>
  </si>
  <si>
    <t>Radio frequency bands</t>
  </si>
  <si>
    <t>Lowest frequency</t>
  </si>
  <si>
    <t>Highest frequency</t>
  </si>
  <si>
    <t>ELF</t>
  </si>
  <si>
    <t>LF</t>
  </si>
  <si>
    <t>MF</t>
  </si>
  <si>
    <t>HF</t>
  </si>
  <si>
    <t>UHF</t>
  </si>
  <si>
    <t>SHF</t>
  </si>
  <si>
    <t>ITU Radio Regulations, Article 2 (frequency/wavelength band definitions)</t>
  </si>
  <si>
    <t>https://en.wikipedia.org/wiki/Radio_spectrum</t>
  </si>
  <si>
    <t>Standard ITU classification</t>
  </si>
  <si>
    <t>2026-08-27</t>
  </si>
  <si>
    <t>2026-09-02-units-length-size</t>
  </si>
  <si>
    <t>measurement</t>
  </si>
  <si>
    <t>Units of length by size</t>
  </si>
  <si>
    <t>Shortest</t>
  </si>
  <si>
    <t>Longest</t>
  </si>
  <si>
    <t>Millimetre</t>
  </si>
  <si>
    <t>Centimetre</t>
  </si>
  <si>
    <t>Inch</t>
  </si>
  <si>
    <t>Foot</t>
  </si>
  <si>
    <t>Yard</t>
  </si>
  <si>
    <t>Metre</t>
  </si>
  <si>
    <t>SI and imperial definitions</t>
  </si>
  <si>
    <t>https://www.nist.gov/</t>
  </si>
  <si>
    <t>1, 10, 25.4, 304.8, 914.4 and 1000 millimetres; a yard is just short of a metre.</t>
  </si>
  <si>
    <t>2026-08-28</t>
  </si>
  <si>
    <t>2026-09-03-musical-tempo-markings</t>
  </si>
  <si>
    <t>music</t>
  </si>
  <si>
    <t>Musical tempo markings by speed</t>
  </si>
  <si>
    <t>Slowest</t>
  </si>
  <si>
    <t>Fastest</t>
  </si>
  <si>
    <t>Largo</t>
  </si>
  <si>
    <t>Adagio</t>
  </si>
  <si>
    <t>Andante</t>
  </si>
  <si>
    <t>Moderato</t>
  </si>
  <si>
    <t>Allegro</t>
  </si>
  <si>
    <t>Presto</t>
  </si>
  <si>
    <t>Standard tempo terms (beats per minute ranges)</t>
  </si>
  <si>
    <t>https://www.britannica.com/art/tempo-music</t>
  </si>
  <si>
    <t>From a broad, slow largo to a very fast presto.</t>
  </si>
  <si>
    <t>2026-08-29</t>
  </si>
  <si>
    <t>2026-09-04-animals-resting-heart</t>
  </si>
  <si>
    <t>nature</t>
  </si>
  <si>
    <t>Animals by resting heart rate</t>
  </si>
  <si>
    <t>Elephant</t>
  </si>
  <si>
    <t>Human</t>
  </si>
  <si>
    <t>Dog</t>
  </si>
  <si>
    <t>Cat</t>
  </si>
  <si>
    <t>Mouse</t>
  </si>
  <si>
    <t>Hummingbird</t>
  </si>
  <si>
    <t>Comparative physiology references (typical resting rates)</t>
  </si>
  <si>
    <t>From about 30 beats per minute in an elephant to over 1,000 in a hummingbird.</t>
  </si>
  <si>
    <t>2026-08-30</t>
  </si>
  <si>
    <t>2026-09-05-chilli-peppers-heat</t>
  </si>
  <si>
    <t>science</t>
  </si>
  <si>
    <t>Chilli peppers by heat</t>
  </si>
  <si>
    <t>Mildest</t>
  </si>
  <si>
    <t>Bell pepper</t>
  </si>
  <si>
    <t>Jalapeno</t>
  </si>
  <si>
    <t>Serrano</t>
  </si>
  <si>
    <t>Cayenne</t>
  </si>
  <si>
    <t>Habanero</t>
  </si>
  <si>
    <t>Carolina Reaper</t>
  </si>
  <si>
    <t>Scoville heat scale (typical ranges)</t>
  </si>
  <si>
    <t>https://www.britannica.com/topic/Scoville-scale</t>
  </si>
  <si>
    <t>From 0 Scoville heat units for a bell pepper to over a million for the Carolina Reaper.</t>
  </si>
  <si>
    <t>2026-08-31</t>
  </si>
  <si>
    <t>2026-09-06-screen-resolutions-sharpness</t>
  </si>
  <si>
    <t>Screen resolutions by sharpness</t>
  </si>
  <si>
    <t>Fewest pixels</t>
  </si>
  <si>
    <t>Most pixels</t>
  </si>
  <si>
    <t>SD</t>
  </si>
  <si>
    <t>HD</t>
  </si>
  <si>
    <t>Full HD</t>
  </si>
  <si>
    <t>QHD</t>
  </si>
  <si>
    <t>4K</t>
  </si>
  <si>
    <t>8K</t>
  </si>
  <si>
    <t>Standard display resolutions (total pixel count)</t>
  </si>
  <si>
    <t>Pixels (p): 480p; 720p; 1080p; 1440p; 2160p; and 4320p, respectively. </t>
  </si>
  <si>
    <t>2026-09-01</t>
  </si>
  <si>
    <t>Existing</t>
  </si>
  <si>
    <t>2026-06-01-planets-distance</t>
  </si>
  <si>
    <t>Planets by distance from the Sun</t>
  </si>
  <si>
    <t>Closest to the Sun</t>
  </si>
  <si>
    <t>Farthest from the Sun</t>
  </si>
  <si>
    <t>Mercury</t>
  </si>
  <si>
    <t>Venus</t>
  </si>
  <si>
    <t>Earth</t>
  </si>
  <si>
    <t>Mars</t>
  </si>
  <si>
    <t>Jupiter</t>
  </si>
  <si>
    <t>Saturn</t>
  </si>
  <si>
    <t>NASA Solar System Exploration</t>
  </si>
  <si>
    <t>https://science.nasa.gov/solar-system/</t>
  </si>
  <si>
    <t>Order of the planets outward from the Sun is fixed.</t>
  </si>
  <si>
    <t>2026-09-02</t>
  </si>
  <si>
    <t>2026-06-02-history-events</t>
  </si>
  <si>
    <t>Moments in history</t>
  </si>
  <si>
    <t>Great Pyramid of Giza built</t>
  </si>
  <si>
    <t>Fall of the Western Roman Empire</t>
  </si>
  <si>
    <t>Gutenberg's printing press</t>
  </si>
  <si>
    <t>US Declaration of Independence</t>
  </si>
  <si>
    <t>First powered flight</t>
  </si>
  <si>
    <t>First Moon landing</t>
  </si>
  <si>
    <t>Encyclopaedia Britannica, individual event entries</t>
  </si>
  <si>
    <t>Dates are centuries apart, so the chronology is unambiguous.</t>
  </si>
  <si>
    <t>2026-09-03</t>
  </si>
  <si>
    <t>2026-06-03-planets-size</t>
  </si>
  <si>
    <t>Planets by size</t>
  </si>
  <si>
    <t>Smallest diameter</t>
  </si>
  <si>
    <t>Largest diameter</t>
  </si>
  <si>
    <t>Neptune</t>
  </si>
  <si>
    <t>NASA planetary fact sheets (mean diameter)</t>
  </si>
  <si>
    <t>https://nssdc.gsfc.nasa.gov/planetary/factsheet/</t>
  </si>
  <si>
    <t>Earth is slightly larger than Venus by mean diameter.</t>
  </si>
  <si>
    <t>2026-09-04</t>
  </si>
  <si>
    <t>2026-06-04-mohs</t>
  </si>
  <si>
    <t>geology</t>
  </si>
  <si>
    <t>Minerals on the Mohs hardness scale</t>
  </si>
  <si>
    <t>Softest</t>
  </si>
  <si>
    <t>Hardest</t>
  </si>
  <si>
    <t>Talc</t>
  </si>
  <si>
    <t>Gypsum</t>
  </si>
  <si>
    <t>Calcite</t>
  </si>
  <si>
    <t>Apatite</t>
  </si>
  <si>
    <t>Quartz</t>
  </si>
  <si>
    <t>Diamond</t>
  </si>
  <si>
    <t>Mohs scale of mineral hardness, standard mineralogy reference</t>
  </si>
  <si>
    <t>https://www.usgs.gov/</t>
  </si>
  <si>
    <t>Talc is 1, diamond is 10 on the scale.</t>
  </si>
  <si>
    <t>2026-09-05</t>
  </si>
  <si>
    <t>2026-06-05-peaks</t>
  </si>
  <si>
    <t>Peaks by height above sea level</t>
  </si>
  <si>
    <t>Tallest</t>
  </si>
  <si>
    <t>Mount Olympus</t>
  </si>
  <si>
    <t>Mount Fuji</t>
  </si>
  <si>
    <t>Mont Blanc</t>
  </si>
  <si>
    <t>Kilimanjaro</t>
  </si>
  <si>
    <t>Aconcagua</t>
  </si>
  <si>
    <t>Mount Everest</t>
  </si>
  <si>
    <t>Encyclopaedia Britannica, individual mountain entries</t>
  </si>
  <si>
    <t>https://www.britannica.com/place/Mount-Everest</t>
  </si>
  <si>
    <t>Heights are well separated, so rounding does not change order.</t>
  </si>
  <si>
    <t>2026-09-06</t>
  </si>
  <si>
    <t>2026-06-06-countries-area</t>
  </si>
  <si>
    <t>Countries by land area</t>
  </si>
  <si>
    <t>United Kingdom</t>
  </si>
  <si>
    <t>Japan</t>
  </si>
  <si>
    <t>Egypt</t>
  </si>
  <si>
    <t>India</t>
  </si>
  <si>
    <t>China</t>
  </si>
  <si>
    <t>Russia</t>
  </si>
  <si>
    <t>The World Factbook, country area figures</t>
  </si>
  <si>
    <t>https://www.cia.gov/the-world-factbook/</t>
  </si>
  <si>
    <t>Areas differ by large margins, so order is stable.</t>
  </si>
  <si>
    <t>2026-09-07</t>
  </si>
  <si>
    <t>2026-06-07-population</t>
  </si>
  <si>
    <t>Places by population</t>
  </si>
  <si>
    <t>Iceland</t>
  </si>
  <si>
    <t>New Zealand</t>
  </si>
  <si>
    <t>Australia</t>
  </si>
  <si>
    <t>Germany</t>
  </si>
  <si>
    <t>United States</t>
  </si>
  <si>
    <t>UN World Population Prospects</t>
  </si>
  <si>
    <t>https://population.un.org/wpp/</t>
  </si>
  <si>
    <t>Chosen so each step is a large, stable gap.</t>
  </si>
  <si>
    <t>2026-09-08</t>
  </si>
  <si>
    <t>2026-06-08-geological-periods</t>
  </si>
  <si>
    <t>Geological periods</t>
  </si>
  <si>
    <t>Cambrian</t>
  </si>
  <si>
    <t>Devonian</t>
  </si>
  <si>
    <t>Permian</t>
  </si>
  <si>
    <t>Triassic</t>
  </si>
  <si>
    <t>Jurassic</t>
  </si>
  <si>
    <t>Cretaceous</t>
  </si>
  <si>
    <t>International Commission on Stratigraphy, geologic time scale</t>
  </si>
  <si>
    <t>https://stratigraphy.org/chart</t>
  </si>
  <si>
    <t>Jurassic precedes Cretaceous.</t>
  </si>
  <si>
    <t>2026-09-09</t>
  </si>
  <si>
    <t>2026-06-09-time-units</t>
  </si>
  <si>
    <t>Units of time by length</t>
  </si>
  <si>
    <t>Second</t>
  </si>
  <si>
    <t>Minute</t>
  </si>
  <si>
    <t>Hour</t>
  </si>
  <si>
    <t>Week</t>
  </si>
  <si>
    <t>Year</t>
  </si>
  <si>
    <t>International System of Units (SI), BIPM</t>
  </si>
  <si>
    <t>https://www.bipm.org/</t>
  </si>
  <si>
    <t>Definitional ordering.</t>
  </si>
  <si>
    <t>2026-09-10</t>
  </si>
  <si>
    <t>2026-06-10-continents-area</t>
  </si>
  <si>
    <t>Continents by land area</t>
  </si>
  <si>
    <t>Europe</t>
  </si>
  <si>
    <t>Antarctica</t>
  </si>
  <si>
    <t>South America</t>
  </si>
  <si>
    <t>North America</t>
  </si>
  <si>
    <t>Africa</t>
  </si>
  <si>
    <t>Encyclopaedia Britannica, continent entries</t>
  </si>
  <si>
    <t>Asia, the largest, is left out so the six fit one screen.</t>
  </si>
  <si>
    <t>2026-09-11</t>
  </si>
  <si>
    <t>2026-06-11-visible-light</t>
  </si>
  <si>
    <t>Colours of light by wavelength</t>
  </si>
  <si>
    <t>Shortest wavelength</t>
  </si>
  <si>
    <t>Longest wavelength</t>
  </si>
  <si>
    <t>Violet</t>
  </si>
  <si>
    <t>Green</t>
  </si>
  <si>
    <t>Encyclopaedia Britannica, visible spectrum</t>
  </si>
  <si>
    <t>https://www.britannica.com/science/visible-spectrum</t>
  </si>
  <si>
    <t>Violet is shortest, red is longest in the visible range.</t>
  </si>
  <si>
    <t>2026-09-12</t>
  </si>
  <si>
    <t>2026-06-12-us-wars</t>
  </si>
  <si>
    <t>United States conflicts in time</t>
  </si>
  <si>
    <t>American Revolution</t>
  </si>
  <si>
    <t>American Civil War</t>
  </si>
  <si>
    <t>World War I</t>
  </si>
  <si>
    <t>World War II</t>
  </si>
  <si>
    <t>Korean War</t>
  </si>
  <si>
    <t>Vietnam War</t>
  </si>
  <si>
    <t>Encyclopaedia Britannica, individual conflict entries</t>
  </si>
  <si>
    <t>Start dates 1775, 1861, 1914, 1939, 1950 and 1955.</t>
  </si>
  <si>
    <t>2026-09-13</t>
  </si>
  <si>
    <t>2026-06-13-animal-speed</t>
  </si>
  <si>
    <t>Animals by top speed</t>
  </si>
  <si>
    <t>Garden snail</t>
  </si>
  <si>
    <t>Tortoise</t>
  </si>
  <si>
    <t>Human sprinting</t>
  </si>
  <si>
    <t>Greyhound</t>
  </si>
  <si>
    <t>Cheetah</t>
  </si>
  <si>
    <t>Peregrine falcon</t>
  </si>
  <si>
    <t>Encyclopaedia Britannica, animal locomotion</t>
  </si>
  <si>
    <t>The peregrine falcon's dive is the fastest.</t>
  </si>
  <si>
    <t>2026-09-14</t>
  </si>
  <si>
    <t>2026-06-14-roman-numerals</t>
  </si>
  <si>
    <t>Roman numerals by value</t>
  </si>
  <si>
    <t>Smallest value</t>
  </si>
  <si>
    <t>Largest value</t>
  </si>
  <si>
    <t>I</t>
  </si>
  <si>
    <t>V</t>
  </si>
  <si>
    <t>X</t>
  </si>
  <si>
    <t>L</t>
  </si>
  <si>
    <t>C</t>
  </si>
  <si>
    <t>D</t>
  </si>
  <si>
    <t>Encyclopaedia Britannica, Roman numerals</t>
  </si>
  <si>
    <t>https://www.britannica.com/topic/Roman-numeral</t>
  </si>
  <si>
    <t>1, 5, 10, 50, 100 and 500.</t>
  </si>
  <si>
    <t>2026-09-15</t>
  </si>
  <si>
    <t>2026-06-15-rivers</t>
  </si>
  <si>
    <t>Rivers by length</t>
  </si>
  <si>
    <t>Thames</t>
  </si>
  <si>
    <t>Rhine</t>
  </si>
  <si>
    <t>Danube</t>
  </si>
  <si>
    <t>Volga</t>
  </si>
  <si>
    <t>Mississippi</t>
  </si>
  <si>
    <t>Amazon</t>
  </si>
  <si>
    <t>Encyclopaedia Britannica, individual river entries</t>
  </si>
  <si>
    <t>Lengths are well separated; the Amazon is by far the longest here.</t>
  </si>
  <si>
    <t>2026-09-16</t>
  </si>
  <si>
    <t>2026-06-16-digital-storage</t>
  </si>
  <si>
    <t>Digital storage units by size</t>
  </si>
  <si>
    <t>Bit</t>
  </si>
  <si>
    <t>Byte</t>
  </si>
  <si>
    <t>Kilobyte</t>
  </si>
  <si>
    <t>Megabyte</t>
  </si>
  <si>
    <t>Gigabyte</t>
  </si>
  <si>
    <t>Terabyte</t>
  </si>
  <si>
    <t>IEC standard units of digital information</t>
  </si>
  <si>
    <t>https://www.iec.ch/</t>
  </si>
  <si>
    <t>Each step is roughly a thousandfold larger.</t>
  </si>
  <si>
    <t>2026-09-17</t>
  </si>
  <si>
    <t>2026-06-17-space-milestones</t>
  </si>
  <si>
    <t>Milestones in spaceflight</t>
  </si>
  <si>
    <t>Sputnik launched</t>
  </si>
  <si>
    <t>Gagarin's first human spaceflight</t>
  </si>
  <si>
    <t>Apollo 11 Moon landing</t>
  </si>
  <si>
    <t>First Space Shuttle flight</t>
  </si>
  <si>
    <t>Hubble Space Telescope launched</t>
  </si>
  <si>
    <t>ISS assembly began</t>
  </si>
  <si>
    <t>NASA history archives</t>
  </si>
  <si>
    <t>https://www.nasa.gov/history/</t>
  </si>
  <si>
    <t>1957, 1961, 1969, 1981, 1990 and 1998.</t>
  </si>
  <si>
    <t>2026-09-18</t>
  </si>
  <si>
    <t>2026-06-18-animal-lifespan</t>
  </si>
  <si>
    <t>Animals by typical lifespan</t>
  </si>
  <si>
    <t>Housefly</t>
  </si>
  <si>
    <t>Horse</t>
  </si>
  <si>
    <t>Giant tortoise</t>
  </si>
  <si>
    <t>Encyclopaedia Britannica, individual animal entries</t>
  </si>
  <si>
    <t>From weeks for the housefly to over a century for the tortoise.</t>
  </si>
  <si>
    <t>2026-09-19</t>
  </si>
  <si>
    <t>2026-06-19-metric-prefixes</t>
  </si>
  <si>
    <t>Metric prefixes by magnitude</t>
  </si>
  <si>
    <t>Nano</t>
  </si>
  <si>
    <t>Micro</t>
  </si>
  <si>
    <t>Milli</t>
  </si>
  <si>
    <t>Centi</t>
  </si>
  <si>
    <t>Kilo</t>
  </si>
  <si>
    <t>Mega</t>
  </si>
  <si>
    <t>International System of Units (SI) prefixes, BIPM</t>
  </si>
  <si>
    <t>https://www.bipm.org/en/measurement-units/si-prefixes</t>
  </si>
  <si>
    <t>From a billionth up to a million.</t>
  </si>
  <si>
    <t>2026-09-20</t>
  </si>
  <si>
    <t>2026-06-20-us-states-area</t>
  </si>
  <si>
    <t>US states by land area</t>
  </si>
  <si>
    <t>Rhode Island</t>
  </si>
  <si>
    <t>Connecticut</t>
  </si>
  <si>
    <t>Alaska</t>
  </si>
  <si>
    <t>United States Census Bureau, state area figures</t>
  </si>
  <si>
    <t>Rhode Island is smallest of the six; Alaska is by far the largest.</t>
  </si>
  <si>
    <t>2026-09-21</t>
  </si>
  <si>
    <t>2026-06-21-densities</t>
  </si>
  <si>
    <t>Materials by density</t>
  </si>
  <si>
    <t>Least dense</t>
  </si>
  <si>
    <t>Most dense</t>
  </si>
  <si>
    <t>Cork</t>
  </si>
  <si>
    <t>Water</t>
  </si>
  <si>
    <t>Aluminium</t>
  </si>
  <si>
    <t>Iron</t>
  </si>
  <si>
    <t>Lead</t>
  </si>
  <si>
    <t>Gold</t>
  </si>
  <si>
    <t>CRC Handbook of Chemistry and Physics, density tables</t>
  </si>
  <si>
    <t>https://hbcp.chemnetbase.com/</t>
  </si>
  <si>
    <t>Cork floats; gold is the densest here.</t>
  </si>
  <si>
    <t>2026-09-22</t>
  </si>
  <si>
    <t>2026-06-22-comm-tech</t>
  </si>
  <si>
    <t>Communication technologies in time</t>
  </si>
  <si>
    <t>Telegraph</t>
  </si>
  <si>
    <t>Telephone</t>
  </si>
  <si>
    <t>Radio broadcasting</t>
  </si>
  <si>
    <t>Television</t>
  </si>
  <si>
    <t>The internet</t>
  </si>
  <si>
    <t>Smartphone</t>
  </si>
  <si>
    <t>Encyclopaedia Britannica, technology entries</t>
  </si>
  <si>
    <t>By the period each came into common use.</t>
  </si>
  <si>
    <t>2026-09-23</t>
  </si>
  <si>
    <t>2026-06-23-animal-mass</t>
  </si>
  <si>
    <t>Animals by typical mass</t>
  </si>
  <si>
    <t>Lightest</t>
  </si>
  <si>
    <t>Heaviest</t>
  </si>
  <si>
    <t>From tens of grams to several tonnes.</t>
  </si>
  <si>
    <t>2026-09-24</t>
  </si>
  <si>
    <t>2026-06-24-us-coins</t>
  </si>
  <si>
    <t>US coins by value</t>
  </si>
  <si>
    <t>Lowest value</t>
  </si>
  <si>
    <t>Highest value</t>
  </si>
  <si>
    <t>Penny</t>
  </si>
  <si>
    <t>Nickel</t>
  </si>
  <si>
    <t>Dime</t>
  </si>
  <si>
    <t>Quarter</t>
  </si>
  <si>
    <t>Half dollar</t>
  </si>
  <si>
    <t>Dollar</t>
  </si>
  <si>
    <t>United States Mint, coin specifications</t>
  </si>
  <si>
    <t>https://www.usmint.gov/</t>
  </si>
  <si>
    <t>1, 5, 10, 25, 50 and 100 cents.</t>
  </si>
  <si>
    <t>2026-09-25</t>
  </si>
  <si>
    <t>2026-06-25-water-bodies</t>
  </si>
  <si>
    <t>Bodies of water by area</t>
  </si>
  <si>
    <t>Black Sea</t>
  </si>
  <si>
    <t>Mediterranean Sea</t>
  </si>
  <si>
    <t>Arctic Ocean</t>
  </si>
  <si>
    <t>Atlantic Ocean</t>
  </si>
  <si>
    <t>Pacific Ocean</t>
  </si>
  <si>
    <t>Encyclopaedia Britannica, sea and ocean entries</t>
  </si>
  <si>
    <t>From the enclosed Caspian to the vast Pacific.</t>
  </si>
  <si>
    <t>2026-09-26</t>
  </si>
  <si>
    <t>2026-06-26-melting-points</t>
  </si>
  <si>
    <t>Metals by melting point</t>
  </si>
  <si>
    <t>Tin</t>
  </si>
  <si>
    <t>Copper</t>
  </si>
  <si>
    <t>Tungsten</t>
  </si>
  <si>
    <t>CRC Handbook of Chemistry and Physics, melting point tables</t>
  </si>
  <si>
    <t>Tin melts around 232C; tungsten near 3422C.</t>
  </si>
  <si>
    <t>2026-09-27</t>
  </si>
  <si>
    <t>2026-06-27-musical-eras</t>
  </si>
  <si>
    <t>Eras of Western classical music</t>
  </si>
  <si>
    <t>Medieval</t>
  </si>
  <si>
    <t>Renaissance</t>
  </si>
  <si>
    <t>Baroque</t>
  </si>
  <si>
    <t>Classical</t>
  </si>
  <si>
    <t>Romantic</t>
  </si>
  <si>
    <t>Modern</t>
  </si>
  <si>
    <t>Encyclopaedia Britannica, history of Western music</t>
  </si>
  <si>
    <t>https://www.britannica.com/art/Western-music</t>
  </si>
  <si>
    <t>Standard periodisation of Western classical music.</t>
  </si>
  <si>
    <t>2026-09-28</t>
  </si>
  <si>
    <t>2026-06-28-taxonomy</t>
  </si>
  <si>
    <t>Levels of biological classification</t>
  </si>
  <si>
    <t>Narrowest</t>
  </si>
  <si>
    <t>Broadest</t>
  </si>
  <si>
    <t>Species</t>
  </si>
  <si>
    <t>Genus</t>
  </si>
  <si>
    <t>Family</t>
  </si>
  <si>
    <t>Order</t>
  </si>
  <si>
    <t>Class</t>
  </si>
  <si>
    <t>Phylum</t>
  </si>
  <si>
    <t>Encyclopaedia Britannica, taxonomy</t>
  </si>
  <si>
    <t>https://www.britannica.com/science/taxonomy</t>
  </si>
  <si>
    <t>Each rank groups the one before it.</t>
  </si>
  <si>
    <t>2026-09-29</t>
  </si>
  <si>
    <t>2026-06-30-structures-height</t>
  </si>
  <si>
    <t>Famous structures by height</t>
  </si>
  <si>
    <t>Statue of Liberty</t>
  </si>
  <si>
    <t>Eiffel Tower</t>
  </si>
  <si>
    <t>Empire State Building</t>
  </si>
  <si>
    <t>CN Tower</t>
  </si>
  <si>
    <t>Shanghai Tower</t>
  </si>
  <si>
    <t>Burj Khalifa</t>
  </si>
  <si>
    <t>Encyclopaedia Britannica, individual structure entries</t>
  </si>
  <si>
    <t>Heights are well separated across the six.</t>
  </si>
  <si>
    <t>Yes</t>
  </si>
  <si>
    <t>2026-09-30</t>
  </si>
  <si>
    <t>2026-07-01-everyday-temps</t>
  </si>
  <si>
    <t>Everyday temperatures</t>
  </si>
  <si>
    <t>Coldest</t>
  </si>
  <si>
    <t>Water freezes</t>
  </si>
  <si>
    <t>Fridge interior</t>
  </si>
  <si>
    <t>Room temperature</t>
  </si>
  <si>
    <t>Human body</t>
  </si>
  <si>
    <t>Water boils</t>
  </si>
  <si>
    <t>Roasting oven</t>
  </si>
  <si>
    <t>General physics reference (degrees Celsius)</t>
  </si>
  <si>
    <t>0, 4, 20, 37, 100 and about 200 degrees Celsius.</t>
  </si>
  <si>
    <t>2026-10-01</t>
  </si>
  <si>
    <t>2026-07-02-olympics</t>
  </si>
  <si>
    <t>Summer Olympic host cities in time</t>
  </si>
  <si>
    <t>Beijing</t>
  </si>
  <si>
    <t>London</t>
  </si>
  <si>
    <t>Rio de Janeiro</t>
  </si>
  <si>
    <t>Tokyo</t>
  </si>
  <si>
    <t>Paris</t>
  </si>
  <si>
    <t>Los Angeles</t>
  </si>
  <si>
    <t>International Olympic Committee</t>
  </si>
  <si>
    <t>https://olympics.com/</t>
  </si>
  <si>
    <t>2008, 2012, 2016, 2020, 2024 and the 2028 host.</t>
  </si>
  <si>
    <t>2026-10-02</t>
  </si>
  <si>
    <t>2026-07-03-diameters</t>
  </si>
  <si>
    <t>Worlds by diameter</t>
  </si>
  <si>
    <t>Moon</t>
  </si>
  <si>
    <t>Sun</t>
  </si>
  <si>
    <t>NASA planetary fact sheets</t>
  </si>
  <si>
    <t>From the Moon up to the Sun.</t>
  </si>
  <si>
    <t>2026-10-03</t>
  </si>
  <si>
    <t>2026-07-04-running-distances</t>
  </si>
  <si>
    <t>sport</t>
  </si>
  <si>
    <t>Running distances</t>
  </si>
  <si>
    <t>100 metres</t>
  </si>
  <si>
    <t>400 metres</t>
  </si>
  <si>
    <t>1 mile</t>
  </si>
  <si>
    <t>5 km</t>
  </si>
  <si>
    <t>Half marathon</t>
  </si>
  <si>
    <t>Marathon</t>
  </si>
  <si>
    <t>World Athletics, standard event distances</t>
  </si>
  <si>
    <t>https://worldathletics.org/</t>
  </si>
  <si>
    <t>The marathon is 42.195 km.</t>
  </si>
  <si>
    <t>2026-10-04</t>
  </si>
  <si>
    <t>2026-07-05-poker-hands</t>
  </si>
  <si>
    <t>games</t>
  </si>
  <si>
    <t>Poker hands by rank</t>
  </si>
  <si>
    <t>Weakest</t>
  </si>
  <si>
    <t>Strongest</t>
  </si>
  <si>
    <t>High card</t>
  </si>
  <si>
    <t>One pair</t>
  </si>
  <si>
    <t>Two pair</t>
  </si>
  <si>
    <t>Three of a kind</t>
  </si>
  <si>
    <t>Straight</t>
  </si>
  <si>
    <t>Flush</t>
  </si>
  <si>
    <t>Standard poker hand rankings</t>
  </si>
  <si>
    <t>https://www.britannica.com/topic/poker-card-game</t>
  </si>
  <si>
    <t>Six of the lower ranks, weakest to strongest.</t>
  </si>
  <si>
    <t>2026-10-05</t>
  </si>
  <si>
    <t>2026-07-06-empires</t>
  </si>
  <si>
    <t>Empires by era</t>
  </si>
  <si>
    <t>Ancient Egypt</t>
  </si>
  <si>
    <t>Ancient Greece</t>
  </si>
  <si>
    <t>Roman Empire</t>
  </si>
  <si>
    <t>Mongol Empire</t>
  </si>
  <si>
    <t>Ottoman Empire</t>
  </si>
  <si>
    <t>British Empire</t>
  </si>
  <si>
    <t>Encyclopaedia Britannica, individual civilisation entries</t>
  </si>
  <si>
    <t>By the period each rose to prominence.</t>
  </si>
  <si>
    <t>2026-10-06</t>
  </si>
  <si>
    <t>2026-07-07-transport-speed</t>
  </si>
  <si>
    <t>transport</t>
  </si>
  <si>
    <t>Ways to travel by typical speed</t>
  </si>
  <si>
    <t>Walking</t>
  </si>
  <si>
    <t>Cycling</t>
  </si>
  <si>
    <t>City driving</t>
  </si>
  <si>
    <t>Motorway driving</t>
  </si>
  <si>
    <t>High-speed train</t>
  </si>
  <si>
    <t>Airliner</t>
  </si>
  <si>
    <t>General reference (typical speeds)</t>
  </si>
  <si>
    <t>From a walking pace up to cruising flight.</t>
  </si>
  <si>
    <t>2026-10-07</t>
  </si>
  <si>
    <t>2026-07-08-math-constants</t>
  </si>
  <si>
    <t>mathematics</t>
  </si>
  <si>
    <t>Mathematical constants by value</t>
  </si>
  <si>
    <t>Zero</t>
  </si>
  <si>
    <t>One</t>
  </si>
  <si>
    <t>Square root of 2</t>
  </si>
  <si>
    <t>e</t>
  </si>
  <si>
    <t>Pi</t>
  </si>
  <si>
    <t>Tau</t>
  </si>
  <si>
    <t>Encyclopaedia Britannica, mathematical constants</t>
  </si>
  <si>
    <t>0, 1, 1.41, 2.72, 3.14 and 6.28.</t>
  </si>
  <si>
    <t>2026-10-08</t>
  </si>
  <si>
    <t>2026-07-09-the-electromagnetic-spectrum</t>
  </si>
  <si>
    <t>The electromagnetic spectrum</t>
  </si>
  <si>
    <t>Gamma rays</t>
  </si>
  <si>
    <t>X-rays</t>
  </si>
  <si>
    <t>Ultraviolet</t>
  </si>
  <si>
    <t>Visible light</t>
  </si>
  <si>
    <t>Infrared</t>
  </si>
  <si>
    <t>Radio waves</t>
  </si>
  <si>
    <t>NASA, Tour of the Electromagnetic Spectrum</t>
  </si>
  <si>
    <t>https://science.nasa.gov/ems/</t>
  </si>
  <si>
    <t>Gamma rays have the shortest wavelength; radio waves the longest.</t>
  </si>
  <si>
    <t>2026-10-09</t>
  </si>
  <si>
    <t>2026-07-10-islands-by-land-area</t>
  </si>
  <si>
    <t>Islands by land area</t>
  </si>
  <si>
    <t>Sumatra</t>
  </si>
  <si>
    <t>Baffin Island</t>
  </si>
  <si>
    <t>Madagascar</t>
  </si>
  <si>
    <t>Borneo</t>
  </si>
  <si>
    <t>New Guinea</t>
  </si>
  <si>
    <t>Greenland</t>
  </si>
  <si>
    <t>Encyclopaedia Britannica, individual island entries</t>
  </si>
  <si>
    <t>Greenland is by far the largest of the six; Australia is treated as a continent, not an island.</t>
  </si>
  <si>
    <t>2026-10-10</t>
  </si>
  <si>
    <t>2026-07-11-the-beaufort-wind-scale</t>
  </si>
  <si>
    <t>The Beaufort wind scale</t>
  </si>
  <si>
    <t>Calmest</t>
  </si>
  <si>
    <t>Calm</t>
  </si>
  <si>
    <t>Light breeze</t>
  </si>
  <si>
    <t>Moderate breeze</t>
  </si>
  <si>
    <t>Strong breeze</t>
  </si>
  <si>
    <t>Gale</t>
  </si>
  <si>
    <t>Storm</t>
  </si>
  <si>
    <t>UK Met Office, Beaufort wind force scale</t>
  </si>
  <si>
    <t>https://www.metoffice.gov.uk/</t>
  </si>
  <si>
    <t>Beaufort numbers roughly 0, 2, 4, 6, 8 and 10.</t>
  </si>
  <si>
    <t>2026-10-11</t>
  </si>
  <si>
    <t>2026-07-12-art-movements-in-time</t>
  </si>
  <si>
    <t>art</t>
  </si>
  <si>
    <t>Art movements in time</t>
  </si>
  <si>
    <t>Impressionism</t>
  </si>
  <si>
    <t>Cubism</t>
  </si>
  <si>
    <t>Surrealism</t>
  </si>
  <si>
    <t>Pop Art</t>
  </si>
  <si>
    <t>Encyclopaedia Britannica, art movement entries</t>
  </si>
  <si>
    <t>By the period each flourished: 15th c, 17th c, 1870s, 1900s, 1920s and 1950s.</t>
  </si>
  <si>
    <t>2026-10-12</t>
  </si>
  <si>
    <t>2026-07-13-scientists-by-birth</t>
  </si>
  <si>
    <t>Scientists by birth</t>
  </si>
  <si>
    <t>Earliest born</t>
  </si>
  <si>
    <t>Latest born</t>
  </si>
  <si>
    <t>Nicolaus Copernicus</t>
  </si>
  <si>
    <t>Galileo Galilei</t>
  </si>
  <si>
    <t>Isaac Newton</t>
  </si>
  <si>
    <t>Charles Darwin</t>
  </si>
  <si>
    <t>Albert Einstein</t>
  </si>
  <si>
    <t>Stephen Hawking</t>
  </si>
  <si>
    <t>Born 1473, 1564, 1643, 1809, 1879 and 1942.</t>
  </si>
  <si>
    <t>2026-10-13</t>
  </si>
  <si>
    <t>2026-07-14-highest-peak-on-each-continent</t>
  </si>
  <si>
    <t>Highest peak on each continent</t>
  </si>
  <si>
    <t>Lowest summit</t>
  </si>
  <si>
    <t>Highest summit</t>
  </si>
  <si>
    <t>Mount Kosciuszko</t>
  </si>
  <si>
    <t>Vinson Massif</t>
  </si>
  <si>
    <t>Mount Elbrus</t>
  </si>
  <si>
    <t>Denali</t>
  </si>
  <si>
    <t>Australia, Antarctica, Europe, Africa, North America and South America; Asia's Everest is left out. Uses mainland Australia's Kosciuszko.</t>
  </si>
  <si>
    <t>2026-10-14</t>
  </si>
  <si>
    <t>2026-07-15-foods-by-fibre-content-per-100-g</t>
  </si>
  <si>
    <t>Foods by fibre content (per 100 g)</t>
  </si>
  <si>
    <t>Lowest fibre</t>
  </si>
  <si>
    <t>Highest fibre</t>
  </si>
  <si>
    <t>White rice</t>
  </si>
  <si>
    <t>Potato</t>
  </si>
  <si>
    <t>Apple</t>
  </si>
  <si>
    <t>Broccoli</t>
  </si>
  <si>
    <t>Lentils</t>
  </si>
  <si>
    <t>Chia seeds</t>
  </si>
  <si>
    <t>USDA FoodData Central (raw, per 100 g)</t>
  </si>
  <si>
    <t>https://fdc.nal.usda.gov/</t>
  </si>
  <si>
    <t>Raw, per 100 g: about 1.3, 2.2, 2.4, 2.6, 7.9 and 34 grams of fibre.</t>
  </si>
  <si>
    <t>2026-10-15</t>
  </si>
  <si>
    <t>2026-07-16-us-presidents-in-time</t>
  </si>
  <si>
    <t>US Presidents in time</t>
  </si>
  <si>
    <t>Earliest in office</t>
  </si>
  <si>
    <t>Most recent in office</t>
  </si>
  <si>
    <t>George Washington</t>
  </si>
  <si>
    <t>Abraham Lincoln</t>
  </si>
  <si>
    <t>Theodore Roosevelt</t>
  </si>
  <si>
    <t>Franklin D. Roosevelt</t>
  </si>
  <si>
    <t>John F. Kennedy</t>
  </si>
  <si>
    <t>Barack Obama</t>
  </si>
  <si>
    <t>The White House, list of presidents</t>
  </si>
  <si>
    <t>https://www.whitehouse.gov/about-the-white-house/presidents/</t>
  </si>
  <si>
    <t>By start of term: 1789, 1861, 1901, 1933, 1961 and 2009.</t>
  </si>
  <si>
    <t>2026-10-16</t>
  </si>
  <si>
    <t>2026-07-17-animals-by-gestation-period</t>
  </si>
  <si>
    <t>Animals by gestation period</t>
  </si>
  <si>
    <t>Giraffe</t>
  </si>
  <si>
    <t>About 20, 63, 280, 340, 450 and 660 days.</t>
  </si>
  <si>
    <t>2026-10-17</t>
  </si>
  <si>
    <t>2026-07-18-everyday-sounds-by-loudness</t>
  </si>
  <si>
    <t>Everyday sounds by loudness</t>
  </si>
  <si>
    <t>Quietest</t>
  </si>
  <si>
    <t>Loudest</t>
  </si>
  <si>
    <t>Rustling leaves</t>
  </si>
  <si>
    <t>Whisper</t>
  </si>
  <si>
    <t>Normal conversation</t>
  </si>
  <si>
    <t>Busy traffic</t>
  </si>
  <si>
    <t>Rock concert</t>
  </si>
  <si>
    <t>Jet engine at takeoff</t>
  </si>
  <si>
    <t>US CDC NIOSH, noise and hearing loss (approximate dB levels)</t>
  </si>
  <si>
    <t>https://www.cdc.gov/niosh/</t>
  </si>
  <si>
    <t>Approx 20, 30, 60, 85, 110 and 140 decibels.</t>
  </si>
  <si>
    <t>2026-10-18</t>
  </si>
  <si>
    <t>2026-07-19-planets-by-length-of-year</t>
  </si>
  <si>
    <t>Planets by length of year</t>
  </si>
  <si>
    <t>Shortest year</t>
  </si>
  <si>
    <t>Longest year</t>
  </si>
  <si>
    <t>NASA planetary fact sheets (orbital period)</t>
  </si>
  <si>
    <t>Orbital periods of about 88 and 225 days, 1 and 1.9 years, then 12 and 29 years.</t>
  </si>
  <si>
    <t>2026-10-19</t>
  </si>
  <si>
    <t>2026-07-20-countries-by-population</t>
  </si>
  <si>
    <t>Countries by population</t>
  </si>
  <si>
    <t>Canada</t>
  </si>
  <si>
    <t>United Nations World Population Prospects 2024</t>
  </si>
  <si>
    <t>India overtook China as the most populous country in 2023.</t>
  </si>
  <si>
    <t>2026-10-20</t>
  </si>
  <si>
    <t>2026-07-21-british-monarchs-in-time</t>
  </si>
  <si>
    <t>British monarchs in time</t>
  </si>
  <si>
    <t>Earliest reign</t>
  </si>
  <si>
    <t>Most recent reign</t>
  </si>
  <si>
    <t>Henry VIII</t>
  </si>
  <si>
    <t>Elizabeth I</t>
  </si>
  <si>
    <t>Victoria</t>
  </si>
  <si>
    <t>Edward VII</t>
  </si>
  <si>
    <t>George VI</t>
  </si>
  <si>
    <t>Elizabeth II</t>
  </si>
  <si>
    <t>The Royal Household, kings and queens</t>
  </si>
  <si>
    <t>https://www.royal.uk/</t>
  </si>
  <si>
    <t>By start of reign: 1509, 1558, 1837, 1901, 1936 and 1952.</t>
  </si>
  <si>
    <t>2026-10-21</t>
  </si>
  <si>
    <t>2026-07-22-polygons-by-number-of-sides</t>
  </si>
  <si>
    <t>Polygons by number of sides</t>
  </si>
  <si>
    <t>Fewest sides</t>
  </si>
  <si>
    <t>Most sides</t>
  </si>
  <si>
    <t>Triangle</t>
  </si>
  <si>
    <t>Square</t>
  </si>
  <si>
    <t>Pentagon</t>
  </si>
  <si>
    <t>Hexagon</t>
  </si>
  <si>
    <t>Heptagon</t>
  </si>
  <si>
    <t>Octagon</t>
  </si>
  <si>
    <t>Standard geometry</t>
  </si>
  <si>
    <t>https://www.britannica.com/science/polygon</t>
  </si>
  <si>
    <t>Three, four, five, six, seven and eight sides.</t>
  </si>
  <si>
    <t>2026-10-22</t>
  </si>
  <si>
    <t>2026-07-23-human-body-structures-by-size</t>
  </si>
  <si>
    <t>Human body structures by size</t>
  </si>
  <si>
    <t>Red blood cell</t>
  </si>
  <si>
    <t>Neuron cell body</t>
  </si>
  <si>
    <t>Grain of rice</t>
  </si>
  <si>
    <t>Eyeball</t>
  </si>
  <si>
    <t>Heart</t>
  </si>
  <si>
    <t>Brain</t>
  </si>
  <si>
    <t>Standard human anatomy and physiology references</t>
  </si>
  <si>
    <t>https://www.britannica.com/science/human-body</t>
  </si>
  <si>
    <t>From a red blood cell about 7 micrometres across up to the brain.</t>
  </si>
  <si>
    <t>2026-10-23</t>
  </si>
  <si>
    <t>2026-07-24-musical-note-durations</t>
  </si>
  <si>
    <t>Musical note durations</t>
  </si>
  <si>
    <t>Thirty-second note</t>
  </si>
  <si>
    <t>Sixteenth note</t>
  </si>
  <si>
    <t>Eighth note</t>
  </si>
  <si>
    <t>Quarter note</t>
  </si>
  <si>
    <t>Half note</t>
  </si>
  <si>
    <t>Whole note</t>
  </si>
  <si>
    <t>Encyclopaedia Britannica, musical notation</t>
  </si>
  <si>
    <t>https://www.britannica.com/art/musical-notation</t>
  </si>
  <si>
    <t>Each note is twice the duration of the previous one.</t>
  </si>
  <si>
    <t>2026-10-24</t>
  </si>
  <si>
    <t>2026-07-25-common-substances-by-ph</t>
  </si>
  <si>
    <t>Common substances by pH</t>
  </si>
  <si>
    <t>Most acidic</t>
  </si>
  <si>
    <t>Most alkaline</t>
  </si>
  <si>
    <t>Battery acid</t>
  </si>
  <si>
    <t>Lemon juice</t>
  </si>
  <si>
    <t>Black coffee</t>
  </si>
  <si>
    <t>Pure water</t>
  </si>
  <si>
    <t>Baking soda solution</t>
  </si>
  <si>
    <t>Household bleach</t>
  </si>
  <si>
    <t>US Geological Survey, pH scale</t>
  </si>
  <si>
    <t>Approx pH 0.5, 2, 5, 7, 9 and 12.5; pure water is neutral at 7.</t>
  </si>
  <si>
    <t>2026-10-25</t>
  </si>
  <si>
    <t>2026-07-26-sports-playing-areas-by-size</t>
  </si>
  <si>
    <t>Sports playing areas by size</t>
  </si>
  <si>
    <t>Boxing ring</t>
  </si>
  <si>
    <t>Tennis court</t>
  </si>
  <si>
    <t>Basketball court</t>
  </si>
  <si>
    <t>Ice hockey rink</t>
  </si>
  <si>
    <t>American football field</t>
  </si>
  <si>
    <t>Soccer pitch</t>
  </si>
  <si>
    <t>Governing-body dimensions (approximate playing areas)</t>
  </si>
  <si>
    <t>Areas of roughly 37, 260, 440, 1,580, 5,350 and 7,140 square metres.</t>
  </si>
  <si>
    <t>2026-10-26</t>
  </si>
  <si>
    <t>2026-07-27-famous-painters-by-birth</t>
  </si>
  <si>
    <t>Famous painters by birth</t>
  </si>
  <si>
    <t>Leonardo da Vinci</t>
  </si>
  <si>
    <t>Rembrandt</t>
  </si>
  <si>
    <t>Claude Monet</t>
  </si>
  <si>
    <t>Vincent van Gogh</t>
  </si>
  <si>
    <t>Pablo Picasso</t>
  </si>
  <si>
    <t>Andy Warhol</t>
  </si>
  <si>
    <t>Born 1452, 1606, 1840, 1853, 1881 and 1928.</t>
  </si>
  <si>
    <t>2026-10-27</t>
  </si>
  <si>
    <t>2026-07-28-moons-of-the-solar-system-by-size</t>
  </si>
  <si>
    <t>Moons of the Solar System by size</t>
  </si>
  <si>
    <t>Europa</t>
  </si>
  <si>
    <t>The Moon</t>
  </si>
  <si>
    <t>Io</t>
  </si>
  <si>
    <t>Callisto</t>
  </si>
  <si>
    <t>Titan</t>
  </si>
  <si>
    <t>Ganymede</t>
  </si>
  <si>
    <t>NASA planetary satellite data</t>
  </si>
  <si>
    <t>https://science.nasa.gov/solar-system/moons/</t>
  </si>
  <si>
    <t>Ganymede, a moon of Jupiter, is the largest moon in the Solar System.</t>
  </si>
  <si>
    <t>2026-10-28</t>
  </si>
  <si>
    <t>2026-07-29-wedding-anniversaries-by-year</t>
  </si>
  <si>
    <t>Wedding anniversaries by year</t>
  </si>
  <si>
    <t>Earliest anniversary</t>
  </si>
  <si>
    <t>Latest anniversary</t>
  </si>
  <si>
    <t>Paper</t>
  </si>
  <si>
    <t>Wood</t>
  </si>
  <si>
    <t>Silver</t>
  </si>
  <si>
    <t>Traditional UK and US anniversary gift list</t>
  </si>
  <si>
    <t>Traditional gifts for the 1st, 5th, 10th, 25th, 50th and 60th anniversaries.</t>
  </si>
  <si>
    <t>2026-10-29</t>
  </si>
  <si>
    <t>2026-07-30-continents-by-population</t>
  </si>
  <si>
    <t>Continents by population</t>
  </si>
  <si>
    <t>Oceania</t>
  </si>
  <si>
    <t>Asia</t>
  </si>
  <si>
    <t>Asia holds well over half the world's people.</t>
  </si>
  <si>
    <t>2026-10-30</t>
  </si>
  <si>
    <t>2026-07-31-ages-of-human-history</t>
  </si>
  <si>
    <t>Ages of human history</t>
  </si>
  <si>
    <t>Stone Age</t>
  </si>
  <si>
    <t>Bronze Age</t>
  </si>
  <si>
    <t>Iron Age</t>
  </si>
  <si>
    <t>Classical antiquity</t>
  </si>
  <si>
    <t>Middle Ages</t>
  </si>
  <si>
    <t>Modern era</t>
  </si>
  <si>
    <t>Encyclopaedia Britannica, periodisation of history</t>
  </si>
  <si>
    <t>Broad periods that overlap by region; ordered by their usual dating.</t>
  </si>
  <si>
    <t>2026-10-31</t>
  </si>
  <si>
    <t>2026-08-01-the-greek-alphabet</t>
  </si>
  <si>
    <t>language</t>
  </si>
  <si>
    <t>The Greek alphabet</t>
  </si>
  <si>
    <t>First letter</t>
  </si>
  <si>
    <t>Sixth letter</t>
  </si>
  <si>
    <t>Alpha</t>
  </si>
  <si>
    <t>Beta</t>
  </si>
  <si>
    <t>Gamma</t>
  </si>
  <si>
    <t>Delta</t>
  </si>
  <si>
    <t>Epsilon</t>
  </si>
  <si>
    <t>Zeta</t>
  </si>
  <si>
    <t>Encyclopaedia Britannica, Greek alphabet</t>
  </si>
  <si>
    <t>https://www.britannica.com/topic/Greek-alphabet</t>
  </si>
  <si>
    <t>The first six letters in order.</t>
  </si>
  <si>
    <t>2026-11-01</t>
  </si>
  <si>
    <t>2026-08-02-classic-novels-by-publication</t>
  </si>
  <si>
    <t>literature</t>
  </si>
  <si>
    <t>Classic novels by publication</t>
  </si>
  <si>
    <t>Pride and Prejudice</t>
  </si>
  <si>
    <t>Jane Eyre</t>
  </si>
  <si>
    <t>Dracula</t>
  </si>
  <si>
    <t>The Great Gatsby</t>
  </si>
  <si>
    <t>Nineteen Eighty-Four</t>
  </si>
  <si>
    <t>To Kill a Mockingbird</t>
  </si>
  <si>
    <t>First-edition publication dates (standard literary reference)</t>
  </si>
  <si>
    <t>First published 1813, 1847, 1897, 1925, 1949 and 1960.</t>
  </si>
  <si>
    <t>2026-11-02</t>
  </si>
  <si>
    <t>2026-08-03-team-sports-by-players-per-side</t>
  </si>
  <si>
    <t>Team sports by players per side</t>
  </si>
  <si>
    <t>Fewest players</t>
  </si>
  <si>
    <t>Most players</t>
  </si>
  <si>
    <t>Tennis (singles)</t>
  </si>
  <si>
    <t>Basketball</t>
  </si>
  <si>
    <t>Netball</t>
  </si>
  <si>
    <t>Baseball</t>
  </si>
  <si>
    <t>Football (soccer)</t>
  </si>
  <si>
    <t>Rugby union</t>
  </si>
  <si>
    <t>Governing-body rules of play</t>
  </si>
  <si>
    <t>Players per side: 1, 5, 7, 9, 11 and 15.</t>
  </si>
  <si>
    <t>2026-11-03</t>
  </si>
  <si>
    <t>2026-08-04-composers-by-birth</t>
  </si>
  <si>
    <t>Composers by birth</t>
  </si>
  <si>
    <t>Johann Sebastian Bach</t>
  </si>
  <si>
    <t>Wolfgang Amadeus Mozart</t>
  </si>
  <si>
    <t>Ludwig van Beethoven</t>
  </si>
  <si>
    <t>Frederic Chopin</t>
  </si>
  <si>
    <t>Johannes Brahms</t>
  </si>
  <si>
    <t>Igor Stravinsky</t>
  </si>
  <si>
    <t>Born 1685, 1756, 1770, 1810, 1833 and 1882.</t>
  </si>
  <si>
    <t>2026-11-04</t>
  </si>
  <si>
    <t>2026-08-05-chemical-elements-by-atomic-number</t>
  </si>
  <si>
    <t>Chemical elements by atomic number</t>
  </si>
  <si>
    <t>Lowest atomic number</t>
  </si>
  <si>
    <t>Highest atomic number</t>
  </si>
  <si>
    <t>Hydrogen</t>
  </si>
  <si>
    <t>Helium</t>
  </si>
  <si>
    <t>Carbon</t>
  </si>
  <si>
    <t>Oxygen</t>
  </si>
  <si>
    <t>IUPAC periodic table of the elements</t>
  </si>
  <si>
    <t>https://iupac.org/what-we-do/periodic-table-of-elements/</t>
  </si>
  <si>
    <t>Atomic numbers 1, 2, 6, 8, 26 and 79.</t>
  </si>
  <si>
    <t>2026-11-05</t>
  </si>
  <si>
    <t>2026-08-06-sports-balls-by-diameter</t>
  </si>
  <si>
    <t>Sports balls by diameter</t>
  </si>
  <si>
    <t>Table tennis ball</t>
  </si>
  <si>
    <t>Golf ball</t>
  </si>
  <si>
    <t>Tennis ball</t>
  </si>
  <si>
    <t>Soccer ball</t>
  </si>
  <si>
    <t>Governing-body equipment rules (ITTF, R&amp;A, ITF, MLB, FIFA, FIBA)</t>
  </si>
  <si>
    <t>Approx 40, 43, 67, 74, 220 and 240 millimetres in diameter.</t>
  </si>
  <si>
    <t>2026-11-06</t>
  </si>
  <si>
    <t>2026-08-07-inventions-in-time</t>
  </si>
  <si>
    <t>Inventions in time</t>
  </si>
  <si>
    <t>The wheel</t>
  </si>
  <si>
    <t>Printing press</t>
  </si>
  <si>
    <t>Steam engine</t>
  </si>
  <si>
    <t>Electric light bulb</t>
  </si>
  <si>
    <t>World Wide Web</t>
  </si>
  <si>
    <t>Encyclopaedia Britannica, individual entries</t>
  </si>
  <si>
    <t>Approx 3500 BCE, 1440, 1712, 1879, 1927 and 1989.</t>
  </si>
  <si>
    <t>2026-11-07</t>
  </si>
  <si>
    <t>2026-08-08-fruits-by-sugar-content-per-100-g</t>
  </si>
  <si>
    <t>Fruits by sugar content (per 100 g)</t>
  </si>
  <si>
    <t>Lowest sugar</t>
  </si>
  <si>
    <t>Highest sugar</t>
  </si>
  <si>
    <t>Avocado</t>
  </si>
  <si>
    <t>Strawberry</t>
  </si>
  <si>
    <t>Peach</t>
  </si>
  <si>
    <t>Mango</t>
  </si>
  <si>
    <t>Date</t>
  </si>
  <si>
    <t>USDA FoodData Central (per 100 g)</t>
  </si>
  <si>
    <t>Per 100 g: about 0.7, 4.9, 8.4, 10.4, 13.7 and 66 grams of sugar.</t>
  </si>
  <si>
    <t>2026-11-08</t>
  </si>
  <si>
    <t>2026-08-09-instruments-by-their-lowest-note</t>
  </si>
  <si>
    <t>Instruments by their lowest note</t>
  </si>
  <si>
    <t>Lowest note</t>
  </si>
  <si>
    <t>Highest note</t>
  </si>
  <si>
    <t>Double bass</t>
  </si>
  <si>
    <t>Cello</t>
  </si>
  <si>
    <t>Viola</t>
  </si>
  <si>
    <t>Violin</t>
  </si>
  <si>
    <t>Flute</t>
  </si>
  <si>
    <t>Piccolo</t>
  </si>
  <si>
    <t>Standard orchestration references (instrument ranges)</t>
  </si>
  <si>
    <t>https://www.britannica.com/art/orchestration</t>
  </si>
  <si>
    <t>Lowest notes around E1, C2, C3, G3, C4 and D5.</t>
  </si>
  <si>
    <t>2026-11-09</t>
  </si>
  <si>
    <t>2026-08-10-foods-by-water-content</t>
  </si>
  <si>
    <t>Foods by water content</t>
  </si>
  <si>
    <t>Lowest water content</t>
  </si>
  <si>
    <t>Highest water content</t>
  </si>
  <si>
    <t>Almonds</t>
  </si>
  <si>
    <t>Bread</t>
  </si>
  <si>
    <t>Banana</t>
  </si>
  <si>
    <t>Watermelon</t>
  </si>
  <si>
    <t>Cucumber</t>
  </si>
  <si>
    <t>Cucumber, about 96% water, edges out watermelon at about 92%.</t>
  </si>
  <si>
    <t>2026-11-10</t>
  </si>
  <si>
    <t>2026-08-11-roman-emperors-time</t>
  </si>
  <si>
    <t>Roman emperors in time</t>
  </si>
  <si>
    <t>Augustus</t>
  </si>
  <si>
    <t>Nero</t>
  </si>
  <si>
    <t>Trajan</t>
  </si>
  <si>
    <t>Hadrian</t>
  </si>
  <si>
    <t>Marcus Aurelius</t>
  </si>
  <si>
    <t>Constantine the Great</t>
  </si>
  <si>
    <t>Reigns beginning 27 BCE, 54, 98, 117, 161 and 306 CE.</t>
  </si>
  <si>
    <t>2026-11-11</t>
  </si>
  <si>
    <t>2026-08-12-tornado-damage-severity</t>
  </si>
  <si>
    <t>Tornado damage by severity</t>
  </si>
  <si>
    <t>Least damage</t>
  </si>
  <si>
    <t>Most damage</t>
  </si>
  <si>
    <t>Broken branches</t>
  </si>
  <si>
    <t>Mobile homes overturned</t>
  </si>
  <si>
    <t>Roofs torn off houses</t>
  </si>
  <si>
    <t>Cars lifted and thrown</t>
  </si>
  <si>
    <t>Reinforced structures damaged</t>
  </si>
  <si>
    <t>Complete destruction</t>
  </si>
  <si>
    <t>NOAA National Weather Service, Enhanced Fujita scale</t>
  </si>
  <si>
    <t>https://www.weather.gov/</t>
  </si>
  <si>
    <t>Rated by estimated wind speed and damage.</t>
  </si>
  <si>
    <t>2026-11-12</t>
  </si>
  <si>
    <t>2026-08-13-zodiac-signs-calendar</t>
  </si>
  <si>
    <t>Zodiac signs in the calendar</t>
  </si>
  <si>
    <t>Earliest in the year</t>
  </si>
  <si>
    <t>Latest in the year</t>
  </si>
  <si>
    <t>Aries</t>
  </si>
  <si>
    <t>Taurus</t>
  </si>
  <si>
    <t>Gemini</t>
  </si>
  <si>
    <t>Cancer</t>
  </si>
  <si>
    <t>Leo</t>
  </si>
  <si>
    <t>Virgo</t>
  </si>
  <si>
    <t>Standard Western (tropical) zodiac dates</t>
  </si>
  <si>
    <t>https://www.britannica.com/topic/zodiac</t>
  </si>
  <si>
    <t>First six signs by start date, beginning with Aries around 21 March.</t>
  </si>
  <si>
    <t>2026-11-13</t>
  </si>
  <si>
    <t>2026-08-14-revolutions-time</t>
  </si>
  <si>
    <t>Revolutions in time</t>
  </si>
  <si>
    <t>English Civil War</t>
  </si>
  <si>
    <t>French Revolution</t>
  </si>
  <si>
    <t>Haitian Revolution</t>
  </si>
  <si>
    <t>Russian Revolution</t>
  </si>
  <si>
    <t>Chinese Revolution</t>
  </si>
  <si>
    <t>By start year: 1642, 1775, 1789, 1791, 1917 and 1949.</t>
  </si>
  <si>
    <t>2026-11-14</t>
  </si>
  <si>
    <t>2026-08-15-noble-gases-atomic</t>
  </si>
  <si>
    <t>Noble gases by atomic number</t>
  </si>
  <si>
    <t>Neon</t>
  </si>
  <si>
    <t>Argon</t>
  </si>
  <si>
    <t>Krypton</t>
  </si>
  <si>
    <t>Xenon</t>
  </si>
  <si>
    <t>Radon</t>
  </si>
  <si>
    <t>IUPAC periodic table (group 18)</t>
  </si>
  <si>
    <t>Atomic numbers 2, 10, 18, 36, 54 and 86.</t>
  </si>
  <si>
    <t>2026-11-15</t>
  </si>
  <si>
    <t>2026-08-16-units-volume-size</t>
  </si>
  <si>
    <t>Units of volume by size</t>
  </si>
  <si>
    <t>Millilitre</t>
  </si>
  <si>
    <t>Teaspoon</t>
  </si>
  <si>
    <t>Tablespoon</t>
  </si>
  <si>
    <t>Fluid ounce</t>
  </si>
  <si>
    <t>Cup</t>
  </si>
  <si>
    <t>Litre</t>
  </si>
  <si>
    <t>US customary and metric definitions</t>
  </si>
  <si>
    <t>About 1, 5, 15, 30, 237 and 1000 millilitres (US customary).</t>
  </si>
  <si>
    <t>2026-11-16</t>
  </si>
  <si>
    <t>2026-08-17-birds-wingspan</t>
  </si>
  <si>
    <t>Birds by wingspan</t>
  </si>
  <si>
    <t>House sparrow</t>
  </si>
  <si>
    <t>Rock pigeon</t>
  </si>
  <si>
    <t>Herring gull</t>
  </si>
  <si>
    <t>Golden eagle</t>
  </si>
  <si>
    <t>Andean condor</t>
  </si>
  <si>
    <t>Wandering albatross</t>
  </si>
  <si>
    <t>Typical wingspans from ornithological references</t>
  </si>
  <si>
    <t>Roughly 22, 65, 140, 200, 300 and 350 cm.</t>
  </si>
  <si>
    <t>2026-11-17</t>
  </si>
  <si>
    <t>2026-08-18-human-bones-length</t>
  </si>
  <si>
    <t>Human bones by length</t>
  </si>
  <si>
    <t>Radius</t>
  </si>
  <si>
    <t>Ulna</t>
  </si>
  <si>
    <t>Humerus</t>
  </si>
  <si>
    <t>Fibula</t>
  </si>
  <si>
    <t>Tibia</t>
  </si>
  <si>
    <t>Femur</t>
  </si>
  <si>
    <t>Standard human anatomy (average adult bone lengths)</t>
  </si>
  <si>
    <t>https://www.britannica.com/science/human-skeleton</t>
  </si>
  <si>
    <t>Average lengths roughly 26, 28, 36, 39, 43 and 48 cm; the femur is the longest bone.</t>
  </si>
  <si>
    <t>2026-11-18</t>
  </si>
  <si>
    <t>2026-08-19-chinese-zodiac-cycle</t>
  </si>
  <si>
    <t>The Chinese zodiac cycle</t>
  </si>
  <si>
    <t>First in the cycle</t>
  </si>
  <si>
    <t>Sixth in the cycle</t>
  </si>
  <si>
    <t>Rat</t>
  </si>
  <si>
    <t>Ox</t>
  </si>
  <si>
    <t>Tiger</t>
  </si>
  <si>
    <t>Rabbit</t>
  </si>
  <si>
    <t>Dragon</t>
  </si>
  <si>
    <t>Snake</t>
  </si>
  <si>
    <t>Traditional Chinese zodiac order</t>
  </si>
  <si>
    <t>https://www.britannica.com/topic/Chinese-zodiac</t>
  </si>
  <si>
    <t>The first six of the twelve animals in cycle order.</t>
  </si>
  <si>
    <t>2026-11-19</t>
  </si>
  <si>
    <t>2026-08-26-gases-boiling-point</t>
  </si>
  <si>
    <t>Gases by boiling point</t>
  </si>
  <si>
    <t>Nitrogen</t>
  </si>
  <si>
    <t>Carbon dioxide</t>
  </si>
  <si>
    <t>Standard chemistry reference values</t>
  </si>
  <si>
    <t>About -269, -253, -246, -196, -183 and -78 degrees Celsius; carbon dioxide sublimes rather than boils.</t>
  </si>
  <si>
    <t>2026-11-20</t>
  </si>
  <si>
    <t>2026-08-21-famous-landmarks-age</t>
  </si>
  <si>
    <t>Famous landmarks by age</t>
  </si>
  <si>
    <t>Oldest</t>
  </si>
  <si>
    <t>Newest</t>
  </si>
  <si>
    <t>Great Pyramid of Giza</t>
  </si>
  <si>
    <t>Parthenon</t>
  </si>
  <si>
    <t>Colosseum</t>
  </si>
  <si>
    <t>Leaning Tower of Pisa</t>
  </si>
  <si>
    <t>Taj Mahal</t>
  </si>
  <si>
    <t>By approximate completion: c.2560 BCE, 438 BCE, 80 CE, 1372, 1653 and 1889.</t>
  </si>
  <si>
    <t>2026-11-21</t>
  </si>
  <si>
    <t>2026-08-23-units-mass-size</t>
  </si>
  <si>
    <t>Units of mass by size</t>
  </si>
  <si>
    <t>Milligram</t>
  </si>
  <si>
    <t>Gram</t>
  </si>
  <si>
    <t>Ounce</t>
  </si>
  <si>
    <t>Pound</t>
  </si>
  <si>
    <t>Kilogram</t>
  </si>
  <si>
    <t>Stone</t>
  </si>
  <si>
    <t>0.001, 1, 28.35, 453.6, 1000 and 6350 grams.</t>
  </si>
  <si>
    <t>2026-11-22</t>
  </si>
  <si>
    <t>2026-08-24-singing-voices-pitch</t>
  </si>
  <si>
    <t>Singing voices by pitch</t>
  </si>
  <si>
    <t>Bass</t>
  </si>
  <si>
    <t>Baritone</t>
  </si>
  <si>
    <t>Tenor</t>
  </si>
  <si>
    <t>Alto</t>
  </si>
  <si>
    <t>Mezzo-soprano</t>
  </si>
  <si>
    <t>Soprano</t>
  </si>
  <si>
    <t>Standard vocal classification</t>
  </si>
  <si>
    <t>https://www.britannica.com/art/voice-classification</t>
  </si>
  <si>
    <t>From the lowest male voice to the highest female voice.</t>
  </si>
  <si>
    <t>2026-11-23</t>
  </si>
  <si>
    <t>2026-08-25-bird-eggs-size</t>
  </si>
  <si>
    <t>Bird eggs by size</t>
  </si>
  <si>
    <t>Pigeon</t>
  </si>
  <si>
    <t>Duck</t>
  </si>
  <si>
    <t>Goose</t>
  </si>
  <si>
    <t>Emu</t>
  </si>
  <si>
    <t>Ostrich</t>
  </si>
  <si>
    <t>Typical egg dimensions from ornithological references</t>
  </si>
  <si>
    <t>The ostrich lays the largest egg of any living bird.</t>
  </si>
  <si>
    <t>Gradus puzzle review summary</t>
  </si>
  <si>
    <t>Total puzzles</t>
  </si>
  <si>
    <t>Existing (approved)</t>
  </si>
  <si>
    <t>Pending review</t>
  </si>
  <si>
    <t>Date range</t>
  </si>
  <si>
    <t>By category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</si>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</sst>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u/>
      <sz val="11"/>
      <color theme="10"/>
      <name val="Calibri"/>
      <family val="2"/>
      <charset val="1"/>
    </font>
    <font>
      <sz val="1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14" fontId="6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" xfId="1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ritannica.com/" TargetMode="External"/><Relationship Id="rId1" Type="http://schemas.openxmlformats.org/officeDocument/2006/relationships/hyperlink" Target="https://science.nasa.gov/em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"/>
  <sheetViews>
    <sheetView tabSelected="1" zoomScaleNormal="100" workbookViewId="0">
      <pane xSplit="3" ySplit="1" topLeftCell="D85" activePane="bottomRight" state="frozen"/>
      <selection pane="topRight" activeCell="F1" sqref="F1"/>
      <selection pane="bottomLeft" activeCell="A43" sqref="A43"/>
      <selection pane="bottomRight" activeCell="A97" sqref="A97"/>
    </sheetView>
  </sheetViews>
  <sheetFormatPr baseColWidth="10" defaultColWidth="8.6640625" defaultRowHeight="15" x14ac:dyDescent="0.2"/>
  <cols>
    <col min="1" max="1" width="5" customWidth="1"/>
    <col min="2" max="2" width="13" customWidth="1"/>
    <col min="3" max="3" width="12" customWidth="1"/>
    <col min="4" max="4" width="26" customWidth="1"/>
    <col min="5" max="5" width="13" customWidth="1"/>
    <col min="6" max="6" width="32" customWidth="1"/>
    <col min="7" max="8" width="18" customWidth="1"/>
    <col min="9" max="14" width="16" customWidth="1"/>
    <col min="15" max="16" width="34" customWidth="1"/>
    <col min="17" max="17" width="10.83203125" customWidth="1"/>
    <col min="18" max="18" width="12" customWidth="1"/>
    <col min="19" max="19" width="10" customWidth="1"/>
    <col min="20" max="20" width="36" customWidth="1"/>
    <col min="21" max="21" width="11" customWidth="1"/>
    <col min="22" max="22" width="26" customWidth="1"/>
  </cols>
  <sheetData>
    <row r="1" spans="1:22" s="1" customFormat="1" ht="23.2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27.75" customHeight="1" x14ac:dyDescent="0.2">
      <c r="A2" s="6">
        <v>1</v>
      </c>
      <c r="B2" s="6" t="s">
        <v>22</v>
      </c>
      <c r="C2" s="6" t="s">
        <v>23</v>
      </c>
      <c r="D2" s="7" t="s">
        <v>24</v>
      </c>
      <c r="E2" s="7" t="s">
        <v>25</v>
      </c>
      <c r="F2" s="8" t="s">
        <v>26</v>
      </c>
      <c r="G2" s="7" t="s">
        <v>27</v>
      </c>
      <c r="H2" s="7" t="s">
        <v>28</v>
      </c>
      <c r="I2" s="7" t="s">
        <v>29</v>
      </c>
      <c r="J2" s="7" t="s">
        <v>30</v>
      </c>
      <c r="K2" s="7" t="s">
        <v>31</v>
      </c>
      <c r="L2" s="7" t="s">
        <v>32</v>
      </c>
      <c r="M2" s="7" t="s">
        <v>33</v>
      </c>
      <c r="N2" s="7" t="s">
        <v>34</v>
      </c>
      <c r="O2" s="9" t="s">
        <v>35</v>
      </c>
      <c r="P2" s="8" t="s">
        <v>36</v>
      </c>
      <c r="Q2" s="7" t="s">
        <v>37</v>
      </c>
      <c r="R2" s="10">
        <v>46245</v>
      </c>
      <c r="S2" s="7" t="s">
        <v>38</v>
      </c>
      <c r="T2" s="9" t="s">
        <v>39</v>
      </c>
      <c r="U2" s="6" t="s">
        <v>40</v>
      </c>
      <c r="V2" s="11"/>
    </row>
    <row r="3" spans="1:22" ht="27.75" customHeight="1" x14ac:dyDescent="0.2">
      <c r="A3" s="6">
        <v>2</v>
      </c>
      <c r="B3" s="6" t="s">
        <v>41</v>
      </c>
      <c r="C3" s="6" t="s">
        <v>23</v>
      </c>
      <c r="D3" s="6" t="s">
        <v>42</v>
      </c>
      <c r="E3" s="6" t="s">
        <v>43</v>
      </c>
      <c r="F3" s="11" t="s">
        <v>44</v>
      </c>
      <c r="G3" s="6" t="s">
        <v>45</v>
      </c>
      <c r="H3" s="6" t="s">
        <v>46</v>
      </c>
      <c r="I3" s="6" t="s">
        <v>47</v>
      </c>
      <c r="J3" s="6" t="s">
        <v>48</v>
      </c>
      <c r="K3" s="6" t="s">
        <v>49</v>
      </c>
      <c r="L3" s="6" t="s">
        <v>50</v>
      </c>
      <c r="M3" s="6" t="s">
        <v>51</v>
      </c>
      <c r="N3" s="6" t="s">
        <v>52</v>
      </c>
      <c r="O3" s="11" t="s">
        <v>53</v>
      </c>
      <c r="P3" s="11" t="s">
        <v>54</v>
      </c>
      <c r="Q3" s="6" t="s">
        <v>37</v>
      </c>
      <c r="R3" s="12">
        <v>46254</v>
      </c>
      <c r="S3" s="6" t="s">
        <v>38</v>
      </c>
      <c r="T3" s="11" t="s">
        <v>55</v>
      </c>
      <c r="U3" s="6" t="s">
        <v>40</v>
      </c>
      <c r="V3" s="11"/>
    </row>
    <row r="4" spans="1:22" ht="27.75" customHeight="1" x14ac:dyDescent="0.2">
      <c r="A4" s="6">
        <v>3</v>
      </c>
      <c r="B4" s="6" t="s">
        <v>56</v>
      </c>
      <c r="C4" s="6" t="s">
        <v>23</v>
      </c>
      <c r="D4" s="6" t="s">
        <v>57</v>
      </c>
      <c r="E4" s="6" t="s">
        <v>58</v>
      </c>
      <c r="F4" s="11" t="s">
        <v>59</v>
      </c>
      <c r="G4" s="6" t="s">
        <v>60</v>
      </c>
      <c r="H4" s="6" t="s">
        <v>61</v>
      </c>
      <c r="I4" s="6" t="s">
        <v>62</v>
      </c>
      <c r="J4" s="6" t="s">
        <v>63</v>
      </c>
      <c r="K4" s="6" t="s">
        <v>64</v>
      </c>
      <c r="L4" s="6" t="s">
        <v>65</v>
      </c>
      <c r="M4" s="6" t="s">
        <v>66</v>
      </c>
      <c r="N4" s="6" t="s">
        <v>67</v>
      </c>
      <c r="O4" s="11" t="s">
        <v>68</v>
      </c>
      <c r="P4" s="11" t="s">
        <v>69</v>
      </c>
      <c r="Q4" s="6" t="s">
        <v>37</v>
      </c>
      <c r="R4" s="12">
        <v>46254</v>
      </c>
      <c r="S4" s="6" t="s">
        <v>38</v>
      </c>
      <c r="T4" s="11" t="s">
        <v>70</v>
      </c>
      <c r="U4" s="6" t="s">
        <v>40</v>
      </c>
      <c r="V4" s="11"/>
    </row>
    <row r="5" spans="1:22" ht="27.75" customHeight="1" x14ac:dyDescent="0.2">
      <c r="A5" s="6">
        <v>4</v>
      </c>
      <c r="B5" s="6" t="s">
        <v>71</v>
      </c>
      <c r="C5" s="6" t="s">
        <v>23</v>
      </c>
      <c r="D5" s="6" t="s">
        <v>72</v>
      </c>
      <c r="E5" s="6" t="s">
        <v>25</v>
      </c>
      <c r="F5" s="11" t="s">
        <v>73</v>
      </c>
      <c r="G5" s="6" t="s">
        <v>74</v>
      </c>
      <c r="H5" s="6" t="s">
        <v>75</v>
      </c>
      <c r="I5" s="6" t="s">
        <v>76</v>
      </c>
      <c r="J5" s="6" t="s">
        <v>77</v>
      </c>
      <c r="K5" s="6" t="s">
        <v>78</v>
      </c>
      <c r="L5" s="6" t="s">
        <v>79</v>
      </c>
      <c r="M5" s="6" t="s">
        <v>80</v>
      </c>
      <c r="N5" s="6" t="s">
        <v>81</v>
      </c>
      <c r="O5" s="11" t="s">
        <v>82</v>
      </c>
      <c r="P5" s="11" t="s">
        <v>83</v>
      </c>
      <c r="Q5" s="6" t="s">
        <v>37</v>
      </c>
      <c r="R5" s="12">
        <v>46254</v>
      </c>
      <c r="S5" s="6" t="s">
        <v>38</v>
      </c>
      <c r="T5" s="11" t="s">
        <v>84</v>
      </c>
      <c r="U5" s="6" t="s">
        <v>40</v>
      </c>
      <c r="V5" s="11"/>
    </row>
    <row r="6" spans="1:22" ht="27.75" customHeight="1" x14ac:dyDescent="0.2">
      <c r="A6" s="6">
        <v>5</v>
      </c>
      <c r="B6" s="6" t="s">
        <v>85</v>
      </c>
      <c r="C6" s="6" t="s">
        <v>23</v>
      </c>
      <c r="D6" s="6" t="s">
        <v>86</v>
      </c>
      <c r="E6" s="6" t="s">
        <v>87</v>
      </c>
      <c r="F6" s="11" t="s">
        <v>88</v>
      </c>
      <c r="G6" s="6" t="s">
        <v>89</v>
      </c>
      <c r="H6" s="6" t="s">
        <v>90</v>
      </c>
      <c r="I6" s="6" t="s">
        <v>91</v>
      </c>
      <c r="J6" s="6" t="s">
        <v>92</v>
      </c>
      <c r="K6" s="6" t="s">
        <v>93</v>
      </c>
      <c r="L6" s="6" t="s">
        <v>94</v>
      </c>
      <c r="M6" s="6" t="s">
        <v>95</v>
      </c>
      <c r="N6" s="6" t="s">
        <v>96</v>
      </c>
      <c r="O6" s="11" t="s">
        <v>97</v>
      </c>
      <c r="P6" s="11" t="s">
        <v>98</v>
      </c>
      <c r="Q6" s="6" t="s">
        <v>37</v>
      </c>
      <c r="R6" s="12">
        <v>46254</v>
      </c>
      <c r="S6" s="6" t="s">
        <v>38</v>
      </c>
      <c r="T6" s="11" t="s">
        <v>99</v>
      </c>
      <c r="U6" s="6" t="s">
        <v>40</v>
      </c>
      <c r="V6" s="11"/>
    </row>
    <row r="7" spans="1:22" ht="27.75" customHeight="1" x14ac:dyDescent="0.2">
      <c r="A7" s="6">
        <v>6</v>
      </c>
      <c r="B7" s="6" t="s">
        <v>100</v>
      </c>
      <c r="C7" s="6" t="s">
        <v>23</v>
      </c>
      <c r="D7" s="6" t="s">
        <v>101</v>
      </c>
      <c r="E7" s="6" t="s">
        <v>102</v>
      </c>
      <c r="F7" s="11" t="s">
        <v>103</v>
      </c>
      <c r="G7" s="6" t="s">
        <v>104</v>
      </c>
      <c r="H7" s="6" t="s">
        <v>105</v>
      </c>
      <c r="I7" s="6" t="s">
        <v>106</v>
      </c>
      <c r="J7" s="6" t="s">
        <v>107</v>
      </c>
      <c r="K7" s="6" t="s">
        <v>108</v>
      </c>
      <c r="L7" s="6" t="s">
        <v>109</v>
      </c>
      <c r="M7" s="6" t="s">
        <v>110</v>
      </c>
      <c r="N7" s="6" t="s">
        <v>111</v>
      </c>
      <c r="O7" s="11" t="s">
        <v>112</v>
      </c>
      <c r="P7" s="11" t="s">
        <v>113</v>
      </c>
      <c r="Q7" s="6" t="s">
        <v>37</v>
      </c>
      <c r="R7" s="12">
        <v>46254</v>
      </c>
      <c r="S7" s="6" t="s">
        <v>38</v>
      </c>
      <c r="T7" s="11" t="s">
        <v>114</v>
      </c>
      <c r="U7" s="6" t="s">
        <v>40</v>
      </c>
      <c r="V7" s="11"/>
    </row>
    <row r="8" spans="1:22" ht="15" customHeight="1" x14ac:dyDescent="0.2">
      <c r="A8" s="6">
        <v>7</v>
      </c>
      <c r="B8" s="6" t="s">
        <v>115</v>
      </c>
      <c r="C8" s="6" t="s">
        <v>23</v>
      </c>
      <c r="D8" s="6" t="s">
        <v>116</v>
      </c>
      <c r="E8" s="6" t="s">
        <v>117</v>
      </c>
      <c r="F8" s="11" t="s">
        <v>118</v>
      </c>
      <c r="G8" s="6" t="s">
        <v>119</v>
      </c>
      <c r="H8" s="6" t="s">
        <v>120</v>
      </c>
      <c r="I8" s="6" t="s">
        <v>121</v>
      </c>
      <c r="J8" s="6" t="s">
        <v>122</v>
      </c>
      <c r="K8" s="6" t="s">
        <v>123</v>
      </c>
      <c r="L8" s="6" t="s">
        <v>124</v>
      </c>
      <c r="M8" s="6" t="s">
        <v>125</v>
      </c>
      <c r="N8" s="6" t="s">
        <v>126</v>
      </c>
      <c r="O8" s="11" t="s">
        <v>127</v>
      </c>
      <c r="P8" s="11" t="s">
        <v>128</v>
      </c>
      <c r="Q8" s="6" t="s">
        <v>37</v>
      </c>
      <c r="R8" s="12">
        <v>46254</v>
      </c>
      <c r="S8" s="6" t="s">
        <v>38</v>
      </c>
      <c r="T8" s="11" t="s">
        <v>129</v>
      </c>
      <c r="U8" s="6" t="s">
        <v>40</v>
      </c>
      <c r="V8" s="11"/>
    </row>
    <row r="9" spans="1:22" ht="27.75" customHeight="1" x14ac:dyDescent="0.2">
      <c r="A9" s="6">
        <v>8</v>
      </c>
      <c r="B9" s="6" t="s">
        <v>130</v>
      </c>
      <c r="C9" s="6" t="s">
        <v>23</v>
      </c>
      <c r="D9" s="6" t="s">
        <v>131</v>
      </c>
      <c r="E9" s="6" t="s">
        <v>132</v>
      </c>
      <c r="F9" s="11" t="s">
        <v>133</v>
      </c>
      <c r="G9" s="6" t="s">
        <v>134</v>
      </c>
      <c r="H9" s="6" t="s">
        <v>135</v>
      </c>
      <c r="I9" s="6" t="s">
        <v>136</v>
      </c>
      <c r="J9" s="6" t="s">
        <v>137</v>
      </c>
      <c r="K9" s="6" t="s">
        <v>138</v>
      </c>
      <c r="L9" s="6" t="s">
        <v>139</v>
      </c>
      <c r="M9" s="6" t="s">
        <v>140</v>
      </c>
      <c r="N9" s="6" t="s">
        <v>141</v>
      </c>
      <c r="O9" s="11" t="s">
        <v>142</v>
      </c>
      <c r="P9" s="11" t="s">
        <v>143</v>
      </c>
      <c r="Q9" s="6" t="s">
        <v>37</v>
      </c>
      <c r="R9" s="12">
        <v>46254</v>
      </c>
      <c r="S9" s="6" t="s">
        <v>38</v>
      </c>
      <c r="T9" s="11" t="s">
        <v>144</v>
      </c>
      <c r="U9" s="6" t="s">
        <v>40</v>
      </c>
      <c r="V9" s="11"/>
    </row>
    <row r="10" spans="1:22" ht="15" customHeight="1" x14ac:dyDescent="0.2">
      <c r="A10" s="6">
        <v>9</v>
      </c>
      <c r="B10" s="6" t="s">
        <v>145</v>
      </c>
      <c r="C10" s="6" t="s">
        <v>23</v>
      </c>
      <c r="D10" s="6" t="s">
        <v>146</v>
      </c>
      <c r="E10" s="6" t="s">
        <v>147</v>
      </c>
      <c r="F10" s="11" t="s">
        <v>148</v>
      </c>
      <c r="G10" s="6" t="s">
        <v>149</v>
      </c>
      <c r="H10" s="6" t="s">
        <v>150</v>
      </c>
      <c r="I10" s="6" t="s">
        <v>151</v>
      </c>
      <c r="J10" s="6" t="s">
        <v>152</v>
      </c>
      <c r="K10" s="6" t="s">
        <v>153</v>
      </c>
      <c r="L10" s="6" t="s">
        <v>154</v>
      </c>
      <c r="M10" s="6" t="s">
        <v>155</v>
      </c>
      <c r="N10" s="6" t="s">
        <v>156</v>
      </c>
      <c r="O10" s="11" t="s">
        <v>157</v>
      </c>
      <c r="P10" s="11" t="s">
        <v>158</v>
      </c>
      <c r="Q10" s="6" t="s">
        <v>37</v>
      </c>
      <c r="R10" s="12">
        <v>46254</v>
      </c>
      <c r="S10" s="6" t="s">
        <v>38</v>
      </c>
      <c r="T10" s="11" t="s">
        <v>159</v>
      </c>
      <c r="U10" s="6" t="s">
        <v>40</v>
      </c>
      <c r="V10" s="11"/>
    </row>
    <row r="11" spans="1:22" ht="27.75" customHeight="1" x14ac:dyDescent="0.2">
      <c r="A11" s="6">
        <v>10</v>
      </c>
      <c r="B11" s="6" t="s">
        <v>160</v>
      </c>
      <c r="C11" s="6" t="s">
        <v>23</v>
      </c>
      <c r="D11" s="6" t="s">
        <v>161</v>
      </c>
      <c r="E11" s="6" t="s">
        <v>162</v>
      </c>
      <c r="F11" s="11" t="s">
        <v>163</v>
      </c>
      <c r="G11" s="6" t="s">
        <v>149</v>
      </c>
      <c r="H11" s="6" t="s">
        <v>150</v>
      </c>
      <c r="I11" s="6" t="s">
        <v>164</v>
      </c>
      <c r="J11" s="6" t="s">
        <v>165</v>
      </c>
      <c r="K11" s="6" t="s">
        <v>166</v>
      </c>
      <c r="L11" s="6" t="s">
        <v>167</v>
      </c>
      <c r="M11" s="6" t="s">
        <v>168</v>
      </c>
      <c r="N11" s="6" t="s">
        <v>169</v>
      </c>
      <c r="O11" s="11" t="s">
        <v>170</v>
      </c>
      <c r="P11" s="11" t="s">
        <v>69</v>
      </c>
      <c r="Q11" s="6" t="s">
        <v>37</v>
      </c>
      <c r="R11" s="12">
        <v>46254</v>
      </c>
      <c r="S11" s="6" t="s">
        <v>38</v>
      </c>
      <c r="T11" s="11" t="s">
        <v>171</v>
      </c>
      <c r="U11" s="6" t="s">
        <v>40</v>
      </c>
      <c r="V11" s="11"/>
    </row>
    <row r="12" spans="1:22" ht="27.75" customHeight="1" x14ac:dyDescent="0.2">
      <c r="A12" s="6">
        <v>11</v>
      </c>
      <c r="B12" s="6" t="s">
        <v>172</v>
      </c>
      <c r="C12" s="6" t="s">
        <v>23</v>
      </c>
      <c r="D12" s="6" t="s">
        <v>173</v>
      </c>
      <c r="E12" s="6" t="s">
        <v>174</v>
      </c>
      <c r="F12" s="11" t="s">
        <v>175</v>
      </c>
      <c r="G12" s="6" t="s">
        <v>176</v>
      </c>
      <c r="H12" s="6" t="s">
        <v>46</v>
      </c>
      <c r="I12" s="6" t="s">
        <v>177</v>
      </c>
      <c r="J12" s="6" t="s">
        <v>178</v>
      </c>
      <c r="K12" s="6" t="s">
        <v>179</v>
      </c>
      <c r="L12" s="6" t="s">
        <v>180</v>
      </c>
      <c r="M12" s="6" t="s">
        <v>181</v>
      </c>
      <c r="N12" s="6" t="s">
        <v>182</v>
      </c>
      <c r="O12" s="11" t="s">
        <v>183</v>
      </c>
      <c r="P12" s="11" t="s">
        <v>184</v>
      </c>
      <c r="Q12" s="6" t="s">
        <v>37</v>
      </c>
      <c r="R12" s="12">
        <v>46254</v>
      </c>
      <c r="S12" s="6" t="s">
        <v>38</v>
      </c>
      <c r="T12" s="11" t="s">
        <v>185</v>
      </c>
      <c r="U12" s="6" t="s">
        <v>40</v>
      </c>
      <c r="V12" s="11"/>
    </row>
    <row r="13" spans="1:22" ht="27.75" customHeight="1" x14ac:dyDescent="0.2">
      <c r="A13" s="6">
        <v>12</v>
      </c>
      <c r="B13" s="6" t="s">
        <v>186</v>
      </c>
      <c r="C13" s="6" t="s">
        <v>23</v>
      </c>
      <c r="D13" s="6" t="s">
        <v>187</v>
      </c>
      <c r="E13" s="6" t="s">
        <v>117</v>
      </c>
      <c r="F13" s="11" t="s">
        <v>188</v>
      </c>
      <c r="G13" s="6" t="s">
        <v>189</v>
      </c>
      <c r="H13" s="6" t="s">
        <v>190</v>
      </c>
      <c r="I13" s="6" t="s">
        <v>191</v>
      </c>
      <c r="J13" s="6" t="s">
        <v>192</v>
      </c>
      <c r="K13" s="6" t="s">
        <v>193</v>
      </c>
      <c r="L13" s="6" t="s">
        <v>194</v>
      </c>
      <c r="M13" s="6" t="s">
        <v>195</v>
      </c>
      <c r="N13" s="6" t="s">
        <v>196</v>
      </c>
      <c r="O13" s="11" t="s">
        <v>197</v>
      </c>
      <c r="P13" s="11" t="s">
        <v>69</v>
      </c>
      <c r="Q13" s="6" t="s">
        <v>37</v>
      </c>
      <c r="R13" s="12">
        <v>46254</v>
      </c>
      <c r="S13" s="6" t="s">
        <v>38</v>
      </c>
      <c r="T13" s="11" t="s">
        <v>198</v>
      </c>
      <c r="U13" s="6" t="s">
        <v>40</v>
      </c>
      <c r="V13" s="11"/>
    </row>
    <row r="14" spans="1:22" ht="27.75" customHeight="1" x14ac:dyDescent="0.2">
      <c r="A14" s="6">
        <v>13</v>
      </c>
      <c r="B14" s="6" t="s">
        <v>199</v>
      </c>
      <c r="C14" s="6" t="s">
        <v>200</v>
      </c>
      <c r="D14" s="6" t="s">
        <v>201</v>
      </c>
      <c r="E14" s="6" t="s">
        <v>43</v>
      </c>
      <c r="F14" s="11" t="s">
        <v>202</v>
      </c>
      <c r="G14" s="6" t="s">
        <v>203</v>
      </c>
      <c r="H14" s="6" t="s">
        <v>204</v>
      </c>
      <c r="I14" s="6" t="s">
        <v>205</v>
      </c>
      <c r="J14" s="6" t="s">
        <v>206</v>
      </c>
      <c r="K14" s="6" t="s">
        <v>207</v>
      </c>
      <c r="L14" s="6" t="s">
        <v>208</v>
      </c>
      <c r="M14" s="6" t="s">
        <v>209</v>
      </c>
      <c r="N14" s="6" t="s">
        <v>210</v>
      </c>
      <c r="O14" s="11" t="s">
        <v>211</v>
      </c>
      <c r="P14" s="11" t="s">
        <v>212</v>
      </c>
      <c r="Q14" s="6" t="s">
        <v>37</v>
      </c>
      <c r="R14" s="12">
        <v>46162</v>
      </c>
      <c r="S14" s="6" t="s">
        <v>38</v>
      </c>
      <c r="T14" s="11" t="s">
        <v>213</v>
      </c>
      <c r="U14" s="6"/>
      <c r="V14" s="11"/>
    </row>
    <row r="15" spans="1:22" ht="27.75" customHeight="1" x14ac:dyDescent="0.2">
      <c r="A15" s="6">
        <v>14</v>
      </c>
      <c r="B15" s="6" t="s">
        <v>214</v>
      </c>
      <c r="C15" s="6" t="s">
        <v>200</v>
      </c>
      <c r="D15" s="6" t="s">
        <v>215</v>
      </c>
      <c r="E15" s="6" t="s">
        <v>87</v>
      </c>
      <c r="F15" s="11" t="s">
        <v>216</v>
      </c>
      <c r="G15" s="6" t="s">
        <v>89</v>
      </c>
      <c r="H15" s="6" t="s">
        <v>90</v>
      </c>
      <c r="I15" s="6" t="s">
        <v>217</v>
      </c>
      <c r="J15" s="6" t="s">
        <v>218</v>
      </c>
      <c r="K15" s="6" t="s">
        <v>219</v>
      </c>
      <c r="L15" s="6" t="s">
        <v>220</v>
      </c>
      <c r="M15" s="6" t="s">
        <v>221</v>
      </c>
      <c r="N15" s="6" t="s">
        <v>222</v>
      </c>
      <c r="O15" s="11" t="s">
        <v>223</v>
      </c>
      <c r="P15" s="11" t="s">
        <v>69</v>
      </c>
      <c r="Q15" s="6" t="s">
        <v>37</v>
      </c>
      <c r="R15" s="12">
        <v>46162</v>
      </c>
      <c r="S15" s="6" t="s">
        <v>38</v>
      </c>
      <c r="T15" s="11" t="s">
        <v>224</v>
      </c>
      <c r="U15" s="6"/>
      <c r="V15" s="11"/>
    </row>
    <row r="16" spans="1:22" ht="27.75" customHeight="1" x14ac:dyDescent="0.2">
      <c r="A16" s="6">
        <v>15</v>
      </c>
      <c r="B16" s="6" t="s">
        <v>225</v>
      </c>
      <c r="C16" s="6" t="s">
        <v>200</v>
      </c>
      <c r="D16" s="6" t="s">
        <v>226</v>
      </c>
      <c r="E16" s="6" t="s">
        <v>43</v>
      </c>
      <c r="F16" s="11" t="s">
        <v>227</v>
      </c>
      <c r="G16" s="6" t="s">
        <v>228</v>
      </c>
      <c r="H16" s="6" t="s">
        <v>229</v>
      </c>
      <c r="I16" s="6" t="s">
        <v>205</v>
      </c>
      <c r="J16" s="6" t="s">
        <v>208</v>
      </c>
      <c r="K16" s="6" t="s">
        <v>206</v>
      </c>
      <c r="L16" s="6" t="s">
        <v>207</v>
      </c>
      <c r="M16" s="6" t="s">
        <v>230</v>
      </c>
      <c r="N16" s="6" t="s">
        <v>209</v>
      </c>
      <c r="O16" s="11" t="s">
        <v>231</v>
      </c>
      <c r="P16" s="11" t="s">
        <v>232</v>
      </c>
      <c r="Q16" s="6" t="s">
        <v>37</v>
      </c>
      <c r="R16" s="12">
        <v>46162</v>
      </c>
      <c r="S16" s="6" t="s">
        <v>38</v>
      </c>
      <c r="T16" s="11" t="s">
        <v>233</v>
      </c>
      <c r="U16" s="6"/>
      <c r="V16" s="11"/>
    </row>
    <row r="17" spans="1:22" ht="15" customHeight="1" x14ac:dyDescent="0.2">
      <c r="A17" s="6">
        <v>16</v>
      </c>
      <c r="B17" s="6" t="s">
        <v>234</v>
      </c>
      <c r="C17" s="6" t="s">
        <v>200</v>
      </c>
      <c r="D17" s="6" t="s">
        <v>235</v>
      </c>
      <c r="E17" s="6" t="s">
        <v>236</v>
      </c>
      <c r="F17" s="11" t="s">
        <v>237</v>
      </c>
      <c r="G17" s="6" t="s">
        <v>238</v>
      </c>
      <c r="H17" s="6" t="s">
        <v>239</v>
      </c>
      <c r="I17" s="6" t="s">
        <v>240</v>
      </c>
      <c r="J17" s="6" t="s">
        <v>241</v>
      </c>
      <c r="K17" s="6" t="s">
        <v>242</v>
      </c>
      <c r="L17" s="6" t="s">
        <v>243</v>
      </c>
      <c r="M17" s="6" t="s">
        <v>244</v>
      </c>
      <c r="N17" s="6" t="s">
        <v>245</v>
      </c>
      <c r="O17" s="11" t="s">
        <v>246</v>
      </c>
      <c r="P17" s="11" t="s">
        <v>247</v>
      </c>
      <c r="Q17" s="6" t="s">
        <v>37</v>
      </c>
      <c r="R17" s="12">
        <v>46162</v>
      </c>
      <c r="S17" s="6" t="s">
        <v>38</v>
      </c>
      <c r="T17" s="11" t="s">
        <v>248</v>
      </c>
      <c r="U17" s="6"/>
      <c r="V17" s="11"/>
    </row>
    <row r="18" spans="1:22" ht="15" customHeight="1" x14ac:dyDescent="0.2">
      <c r="A18" s="6">
        <v>17</v>
      </c>
      <c r="B18" s="6" t="s">
        <v>249</v>
      </c>
      <c r="C18" s="6" t="s">
        <v>200</v>
      </c>
      <c r="D18" s="6" t="s">
        <v>250</v>
      </c>
      <c r="E18" s="6" t="s">
        <v>25</v>
      </c>
      <c r="F18" s="11" t="s">
        <v>251</v>
      </c>
      <c r="G18" s="6" t="s">
        <v>134</v>
      </c>
      <c r="H18" s="6" t="s">
        <v>252</v>
      </c>
      <c r="I18" s="6" t="s">
        <v>253</v>
      </c>
      <c r="J18" s="6" t="s">
        <v>254</v>
      </c>
      <c r="K18" s="6" t="s">
        <v>255</v>
      </c>
      <c r="L18" s="6" t="s">
        <v>256</v>
      </c>
      <c r="M18" s="6" t="s">
        <v>257</v>
      </c>
      <c r="N18" s="6" t="s">
        <v>258</v>
      </c>
      <c r="O18" s="11" t="s">
        <v>259</v>
      </c>
      <c r="P18" s="11" t="s">
        <v>260</v>
      </c>
      <c r="Q18" s="6" t="s">
        <v>37</v>
      </c>
      <c r="R18" s="12">
        <v>46162</v>
      </c>
      <c r="S18" s="6" t="s">
        <v>38</v>
      </c>
      <c r="T18" s="11" t="s">
        <v>261</v>
      </c>
      <c r="U18" s="6"/>
      <c r="V18" s="11"/>
    </row>
    <row r="19" spans="1:22" ht="27.75" customHeight="1" x14ac:dyDescent="0.2">
      <c r="A19" s="6">
        <v>18</v>
      </c>
      <c r="B19" s="6" t="s">
        <v>262</v>
      </c>
      <c r="C19" s="6" t="s">
        <v>200</v>
      </c>
      <c r="D19" s="6" t="s">
        <v>263</v>
      </c>
      <c r="E19" s="6" t="s">
        <v>25</v>
      </c>
      <c r="F19" s="11" t="s">
        <v>264</v>
      </c>
      <c r="G19" s="6" t="s">
        <v>74</v>
      </c>
      <c r="H19" s="6" t="s">
        <v>75</v>
      </c>
      <c r="I19" s="6" t="s">
        <v>265</v>
      </c>
      <c r="J19" s="6" t="s">
        <v>266</v>
      </c>
      <c r="K19" s="6" t="s">
        <v>267</v>
      </c>
      <c r="L19" s="6" t="s">
        <v>268</v>
      </c>
      <c r="M19" s="6" t="s">
        <v>269</v>
      </c>
      <c r="N19" s="6" t="s">
        <v>270</v>
      </c>
      <c r="O19" s="11" t="s">
        <v>271</v>
      </c>
      <c r="P19" s="11" t="s">
        <v>272</v>
      </c>
      <c r="Q19" s="6" t="s">
        <v>37</v>
      </c>
      <c r="R19" s="12">
        <v>46162</v>
      </c>
      <c r="S19" s="6" t="s">
        <v>38</v>
      </c>
      <c r="T19" s="11" t="s">
        <v>273</v>
      </c>
      <c r="U19" s="6"/>
      <c r="V19" s="11"/>
    </row>
    <row r="20" spans="1:22" ht="27.75" customHeight="1" x14ac:dyDescent="0.2">
      <c r="A20" s="6">
        <v>19</v>
      </c>
      <c r="B20" s="6" t="s">
        <v>274</v>
      </c>
      <c r="C20" s="6" t="s">
        <v>200</v>
      </c>
      <c r="D20" s="6" t="s">
        <v>275</v>
      </c>
      <c r="E20" s="6" t="s">
        <v>25</v>
      </c>
      <c r="F20" s="11" t="s">
        <v>276</v>
      </c>
      <c r="G20" s="6" t="s">
        <v>27</v>
      </c>
      <c r="H20" s="6" t="s">
        <v>28</v>
      </c>
      <c r="I20" s="6" t="s">
        <v>277</v>
      </c>
      <c r="J20" s="6" t="s">
        <v>278</v>
      </c>
      <c r="K20" s="6" t="s">
        <v>279</v>
      </c>
      <c r="L20" s="6" t="s">
        <v>280</v>
      </c>
      <c r="M20" s="6" t="s">
        <v>281</v>
      </c>
      <c r="N20" s="6" t="s">
        <v>268</v>
      </c>
      <c r="O20" s="11" t="s">
        <v>282</v>
      </c>
      <c r="P20" s="11" t="s">
        <v>283</v>
      </c>
      <c r="Q20" s="6" t="s">
        <v>37</v>
      </c>
      <c r="R20" s="12">
        <v>46162</v>
      </c>
      <c r="S20" s="6" t="s">
        <v>38</v>
      </c>
      <c r="T20" s="11" t="s">
        <v>284</v>
      </c>
      <c r="U20" s="6"/>
      <c r="V20" s="11"/>
    </row>
    <row r="21" spans="1:22" ht="27.75" customHeight="1" x14ac:dyDescent="0.2">
      <c r="A21" s="6">
        <v>20</v>
      </c>
      <c r="B21" s="6" t="s">
        <v>285</v>
      </c>
      <c r="C21" s="6" t="s">
        <v>200</v>
      </c>
      <c r="D21" s="6" t="s">
        <v>286</v>
      </c>
      <c r="E21" s="6" t="s">
        <v>236</v>
      </c>
      <c r="F21" s="11" t="s">
        <v>287</v>
      </c>
      <c r="G21" s="6" t="s">
        <v>89</v>
      </c>
      <c r="H21" s="6" t="s">
        <v>90</v>
      </c>
      <c r="I21" s="6" t="s">
        <v>288</v>
      </c>
      <c r="J21" s="6" t="s">
        <v>289</v>
      </c>
      <c r="K21" s="6" t="s">
        <v>290</v>
      </c>
      <c r="L21" s="6" t="s">
        <v>291</v>
      </c>
      <c r="M21" s="6" t="s">
        <v>292</v>
      </c>
      <c r="N21" s="6" t="s">
        <v>293</v>
      </c>
      <c r="O21" s="11" t="s">
        <v>294</v>
      </c>
      <c r="P21" s="11" t="s">
        <v>295</v>
      </c>
      <c r="Q21" s="6" t="s">
        <v>37</v>
      </c>
      <c r="R21" s="12">
        <v>46190</v>
      </c>
      <c r="S21" s="6" t="s">
        <v>38</v>
      </c>
      <c r="T21" s="11" t="s">
        <v>296</v>
      </c>
      <c r="U21" s="6"/>
      <c r="V21" s="11"/>
    </row>
    <row r="22" spans="1:22" ht="27.75" customHeight="1" x14ac:dyDescent="0.2">
      <c r="A22" s="6">
        <v>21</v>
      </c>
      <c r="B22" s="6" t="s">
        <v>297</v>
      </c>
      <c r="C22" s="6" t="s">
        <v>200</v>
      </c>
      <c r="D22" s="6" t="s">
        <v>298</v>
      </c>
      <c r="E22" s="6" t="s">
        <v>132</v>
      </c>
      <c r="F22" s="11" t="s">
        <v>299</v>
      </c>
      <c r="G22" s="6" t="s">
        <v>134</v>
      </c>
      <c r="H22" s="6" t="s">
        <v>135</v>
      </c>
      <c r="I22" s="6" t="s">
        <v>300</v>
      </c>
      <c r="J22" s="6" t="s">
        <v>301</v>
      </c>
      <c r="K22" s="6" t="s">
        <v>302</v>
      </c>
      <c r="L22" s="6" t="s">
        <v>0</v>
      </c>
      <c r="M22" s="6" t="s">
        <v>303</v>
      </c>
      <c r="N22" s="6" t="s">
        <v>304</v>
      </c>
      <c r="O22" s="11" t="s">
        <v>305</v>
      </c>
      <c r="P22" s="11" t="s">
        <v>306</v>
      </c>
      <c r="Q22" s="6" t="s">
        <v>37</v>
      </c>
      <c r="R22" s="12">
        <v>46190</v>
      </c>
      <c r="S22" s="6" t="s">
        <v>38</v>
      </c>
      <c r="T22" s="11" t="s">
        <v>307</v>
      </c>
      <c r="U22" s="6"/>
      <c r="V22" s="11"/>
    </row>
    <row r="23" spans="1:22" ht="27.75" customHeight="1" x14ac:dyDescent="0.2">
      <c r="A23" s="6">
        <v>22</v>
      </c>
      <c r="B23" s="6" t="s">
        <v>308</v>
      </c>
      <c r="C23" s="6" t="s">
        <v>200</v>
      </c>
      <c r="D23" s="6" t="s">
        <v>309</v>
      </c>
      <c r="E23" s="6" t="s">
        <v>25</v>
      </c>
      <c r="F23" s="11" t="s">
        <v>310</v>
      </c>
      <c r="G23" s="6" t="s">
        <v>74</v>
      </c>
      <c r="H23" s="6" t="s">
        <v>75</v>
      </c>
      <c r="I23" s="6" t="s">
        <v>279</v>
      </c>
      <c r="J23" s="6" t="s">
        <v>311</v>
      </c>
      <c r="K23" s="6" t="s">
        <v>312</v>
      </c>
      <c r="L23" s="6" t="s">
        <v>313</v>
      </c>
      <c r="M23" s="6" t="s">
        <v>314</v>
      </c>
      <c r="N23" s="6" t="s">
        <v>315</v>
      </c>
      <c r="O23" s="11" t="s">
        <v>316</v>
      </c>
      <c r="P23" s="11" t="s">
        <v>69</v>
      </c>
      <c r="Q23" s="6" t="s">
        <v>37</v>
      </c>
      <c r="R23" s="12">
        <v>46190</v>
      </c>
      <c r="S23" s="6" t="s">
        <v>38</v>
      </c>
      <c r="T23" s="11" t="s">
        <v>317</v>
      </c>
      <c r="U23" s="6"/>
      <c r="V23" s="11"/>
    </row>
    <row r="24" spans="1:22" ht="27.75" customHeight="1" x14ac:dyDescent="0.2">
      <c r="A24" s="6">
        <v>23</v>
      </c>
      <c r="B24" s="6" t="s">
        <v>318</v>
      </c>
      <c r="C24" s="6" t="s">
        <v>200</v>
      </c>
      <c r="D24" s="6" t="s">
        <v>319</v>
      </c>
      <c r="E24" s="6" t="s">
        <v>174</v>
      </c>
      <c r="F24" s="11" t="s">
        <v>320</v>
      </c>
      <c r="G24" s="6" t="s">
        <v>321</v>
      </c>
      <c r="H24" s="6" t="s">
        <v>322</v>
      </c>
      <c r="I24" s="6" t="s">
        <v>323</v>
      </c>
      <c r="J24" s="6" t="s">
        <v>52</v>
      </c>
      <c r="K24" s="6" t="s">
        <v>324</v>
      </c>
      <c r="L24" s="6" t="s">
        <v>49</v>
      </c>
      <c r="M24" s="6" t="s">
        <v>48</v>
      </c>
      <c r="N24" s="6" t="s">
        <v>47</v>
      </c>
      <c r="O24" s="11" t="s">
        <v>325</v>
      </c>
      <c r="P24" s="11" t="s">
        <v>326</v>
      </c>
      <c r="Q24" s="6" t="s">
        <v>37</v>
      </c>
      <c r="R24" s="12">
        <v>46190</v>
      </c>
      <c r="S24" s="6" t="s">
        <v>38</v>
      </c>
      <c r="T24" s="11" t="s">
        <v>327</v>
      </c>
      <c r="U24" s="6"/>
      <c r="V24" s="11"/>
    </row>
    <row r="25" spans="1:22" ht="15" customHeight="1" x14ac:dyDescent="0.2">
      <c r="A25" s="6">
        <v>24</v>
      </c>
      <c r="B25" s="6" t="s">
        <v>328</v>
      </c>
      <c r="C25" s="6" t="s">
        <v>200</v>
      </c>
      <c r="D25" s="6" t="s">
        <v>329</v>
      </c>
      <c r="E25" s="6" t="s">
        <v>87</v>
      </c>
      <c r="F25" s="11" t="s">
        <v>330</v>
      </c>
      <c r="G25" s="6" t="s">
        <v>89</v>
      </c>
      <c r="H25" s="6" t="s">
        <v>90</v>
      </c>
      <c r="I25" s="6" t="s">
        <v>331</v>
      </c>
      <c r="J25" s="6" t="s">
        <v>332</v>
      </c>
      <c r="K25" s="6" t="s">
        <v>333</v>
      </c>
      <c r="L25" s="6" t="s">
        <v>334</v>
      </c>
      <c r="M25" s="6" t="s">
        <v>335</v>
      </c>
      <c r="N25" s="6" t="s">
        <v>336</v>
      </c>
      <c r="O25" s="11" t="s">
        <v>337</v>
      </c>
      <c r="P25" s="11" t="s">
        <v>69</v>
      </c>
      <c r="Q25" s="6" t="s">
        <v>37</v>
      </c>
      <c r="R25" s="12">
        <v>46190</v>
      </c>
      <c r="S25" s="6" t="s">
        <v>38</v>
      </c>
      <c r="T25" s="11" t="s">
        <v>338</v>
      </c>
      <c r="U25" s="6"/>
      <c r="V25" s="11"/>
    </row>
    <row r="26" spans="1:22" ht="27.75" customHeight="1" x14ac:dyDescent="0.2">
      <c r="A26" s="6">
        <v>25</v>
      </c>
      <c r="B26" s="6" t="s">
        <v>339</v>
      </c>
      <c r="C26" s="6" t="s">
        <v>200</v>
      </c>
      <c r="D26" s="6" t="s">
        <v>340</v>
      </c>
      <c r="E26" s="6" t="s">
        <v>162</v>
      </c>
      <c r="F26" s="11" t="s">
        <v>341</v>
      </c>
      <c r="G26" s="6" t="s">
        <v>149</v>
      </c>
      <c r="H26" s="6" t="s">
        <v>150</v>
      </c>
      <c r="I26" s="6" t="s">
        <v>342</v>
      </c>
      <c r="J26" s="6" t="s">
        <v>343</v>
      </c>
      <c r="K26" s="6" t="s">
        <v>344</v>
      </c>
      <c r="L26" s="6" t="s">
        <v>345</v>
      </c>
      <c r="M26" s="6" t="s">
        <v>346</v>
      </c>
      <c r="N26" s="6" t="s">
        <v>347</v>
      </c>
      <c r="O26" s="11" t="s">
        <v>348</v>
      </c>
      <c r="P26" s="11" t="s">
        <v>69</v>
      </c>
      <c r="Q26" s="6" t="s">
        <v>37</v>
      </c>
      <c r="R26" s="12">
        <v>46190</v>
      </c>
      <c r="S26" s="6" t="s">
        <v>38</v>
      </c>
      <c r="T26" s="11" t="s">
        <v>349</v>
      </c>
      <c r="U26" s="6"/>
      <c r="V26" s="11"/>
    </row>
    <row r="27" spans="1:22" ht="27.75" customHeight="1" x14ac:dyDescent="0.2">
      <c r="A27" s="6">
        <v>26</v>
      </c>
      <c r="B27" s="6" t="s">
        <v>350</v>
      </c>
      <c r="C27" s="6" t="s">
        <v>200</v>
      </c>
      <c r="D27" s="6" t="s">
        <v>351</v>
      </c>
      <c r="E27" s="6" t="s">
        <v>132</v>
      </c>
      <c r="F27" s="11" t="s">
        <v>352</v>
      </c>
      <c r="G27" s="6" t="s">
        <v>353</v>
      </c>
      <c r="H27" s="6" t="s">
        <v>354</v>
      </c>
      <c r="I27" s="6" t="s">
        <v>355</v>
      </c>
      <c r="J27" s="6" t="s">
        <v>356</v>
      </c>
      <c r="K27" s="6" t="s">
        <v>357</v>
      </c>
      <c r="L27" s="6" t="s">
        <v>358</v>
      </c>
      <c r="M27" s="6" t="s">
        <v>359</v>
      </c>
      <c r="N27" s="6" t="s">
        <v>360</v>
      </c>
      <c r="O27" s="11" t="s">
        <v>361</v>
      </c>
      <c r="P27" s="11" t="s">
        <v>362</v>
      </c>
      <c r="Q27" s="6" t="s">
        <v>37</v>
      </c>
      <c r="R27" s="12">
        <v>46190</v>
      </c>
      <c r="S27" s="6" t="s">
        <v>38</v>
      </c>
      <c r="T27" s="11" t="s">
        <v>363</v>
      </c>
      <c r="U27" s="6"/>
      <c r="V27" s="11"/>
    </row>
    <row r="28" spans="1:22" ht="27.75" customHeight="1" x14ac:dyDescent="0.2">
      <c r="A28" s="6">
        <v>27</v>
      </c>
      <c r="B28" s="6" t="s">
        <v>364</v>
      </c>
      <c r="C28" s="6" t="s">
        <v>200</v>
      </c>
      <c r="D28" s="6" t="s">
        <v>365</v>
      </c>
      <c r="E28" s="6" t="s">
        <v>25</v>
      </c>
      <c r="F28" s="11" t="s">
        <v>366</v>
      </c>
      <c r="G28" s="6" t="s">
        <v>134</v>
      </c>
      <c r="H28" s="6" t="s">
        <v>135</v>
      </c>
      <c r="I28" s="6" t="s">
        <v>367</v>
      </c>
      <c r="J28" s="6" t="s">
        <v>368</v>
      </c>
      <c r="K28" s="6" t="s">
        <v>369</v>
      </c>
      <c r="L28" s="6" t="s">
        <v>370</v>
      </c>
      <c r="M28" s="6" t="s">
        <v>371</v>
      </c>
      <c r="N28" s="6" t="s">
        <v>372</v>
      </c>
      <c r="O28" s="11" t="s">
        <v>373</v>
      </c>
      <c r="P28" s="11" t="s">
        <v>69</v>
      </c>
      <c r="Q28" s="6" t="s">
        <v>37</v>
      </c>
      <c r="R28" s="12">
        <v>46190</v>
      </c>
      <c r="S28" s="6" t="s">
        <v>38</v>
      </c>
      <c r="T28" s="11" t="s">
        <v>374</v>
      </c>
      <c r="U28" s="6"/>
      <c r="V28" s="11"/>
    </row>
    <row r="29" spans="1:22" ht="27.75" customHeight="1" x14ac:dyDescent="0.2">
      <c r="A29" s="6">
        <v>28</v>
      </c>
      <c r="B29" s="6" t="s">
        <v>375</v>
      </c>
      <c r="C29" s="6" t="s">
        <v>200</v>
      </c>
      <c r="D29" s="6" t="s">
        <v>376</v>
      </c>
      <c r="E29" s="6" t="s">
        <v>117</v>
      </c>
      <c r="F29" s="11" t="s">
        <v>377</v>
      </c>
      <c r="G29" s="6" t="s">
        <v>74</v>
      </c>
      <c r="H29" s="6" t="s">
        <v>75</v>
      </c>
      <c r="I29" s="6" t="s">
        <v>378</v>
      </c>
      <c r="J29" s="6" t="s">
        <v>379</v>
      </c>
      <c r="K29" s="6" t="s">
        <v>380</v>
      </c>
      <c r="L29" s="6" t="s">
        <v>381</v>
      </c>
      <c r="M29" s="6" t="s">
        <v>382</v>
      </c>
      <c r="N29" s="6" t="s">
        <v>383</v>
      </c>
      <c r="O29" s="11" t="s">
        <v>384</v>
      </c>
      <c r="P29" s="11" t="s">
        <v>385</v>
      </c>
      <c r="Q29" s="6" t="s">
        <v>37</v>
      </c>
      <c r="R29" s="12">
        <v>46190</v>
      </c>
      <c r="S29" s="6" t="s">
        <v>38</v>
      </c>
      <c r="T29" s="11" t="s">
        <v>386</v>
      </c>
      <c r="U29" s="6"/>
      <c r="V29" s="11"/>
    </row>
    <row r="30" spans="1:22" ht="15" customHeight="1" x14ac:dyDescent="0.2">
      <c r="A30" s="6">
        <v>29</v>
      </c>
      <c r="B30" s="6" t="s">
        <v>387</v>
      </c>
      <c r="C30" s="6" t="s">
        <v>200</v>
      </c>
      <c r="D30" s="6" t="s">
        <v>388</v>
      </c>
      <c r="E30" s="6" t="s">
        <v>87</v>
      </c>
      <c r="F30" s="11" t="s">
        <v>389</v>
      </c>
      <c r="G30" s="6" t="s">
        <v>89</v>
      </c>
      <c r="H30" s="6" t="s">
        <v>90</v>
      </c>
      <c r="I30" s="6" t="s">
        <v>390</v>
      </c>
      <c r="J30" s="6" t="s">
        <v>391</v>
      </c>
      <c r="K30" s="6" t="s">
        <v>392</v>
      </c>
      <c r="L30" s="6" t="s">
        <v>393</v>
      </c>
      <c r="M30" s="6" t="s">
        <v>394</v>
      </c>
      <c r="N30" s="6" t="s">
        <v>395</v>
      </c>
      <c r="O30" s="11" t="s">
        <v>396</v>
      </c>
      <c r="P30" s="11" t="s">
        <v>397</v>
      </c>
      <c r="Q30" s="6" t="s">
        <v>37</v>
      </c>
      <c r="R30" s="12">
        <v>46190</v>
      </c>
      <c r="S30" s="6" t="s">
        <v>38</v>
      </c>
      <c r="T30" s="11" t="s">
        <v>398</v>
      </c>
      <c r="U30" s="6"/>
      <c r="V30" s="11"/>
    </row>
    <row r="31" spans="1:22" ht="27.75" customHeight="1" x14ac:dyDescent="0.2">
      <c r="A31" s="6">
        <v>30</v>
      </c>
      <c r="B31" s="6" t="s">
        <v>399</v>
      </c>
      <c r="C31" s="6" t="s">
        <v>200</v>
      </c>
      <c r="D31" s="6" t="s">
        <v>400</v>
      </c>
      <c r="E31" s="6" t="s">
        <v>162</v>
      </c>
      <c r="F31" s="11" t="s">
        <v>401</v>
      </c>
      <c r="G31" s="6" t="s">
        <v>134</v>
      </c>
      <c r="H31" s="6" t="s">
        <v>135</v>
      </c>
      <c r="I31" s="6" t="s">
        <v>402</v>
      </c>
      <c r="J31" s="6" t="s">
        <v>168</v>
      </c>
      <c r="K31" s="6" t="s">
        <v>166</v>
      </c>
      <c r="L31" s="6" t="s">
        <v>403</v>
      </c>
      <c r="M31" s="6" t="s">
        <v>165</v>
      </c>
      <c r="N31" s="6" t="s">
        <v>404</v>
      </c>
      <c r="O31" s="11" t="s">
        <v>405</v>
      </c>
      <c r="P31" s="11" t="s">
        <v>69</v>
      </c>
      <c r="Q31" s="6" t="s">
        <v>37</v>
      </c>
      <c r="R31" s="12">
        <v>46190</v>
      </c>
      <c r="S31" s="6" t="s">
        <v>38</v>
      </c>
      <c r="T31" s="11" t="s">
        <v>406</v>
      </c>
      <c r="U31" s="6"/>
      <c r="V31" s="11"/>
    </row>
    <row r="32" spans="1:22" ht="27.75" customHeight="1" x14ac:dyDescent="0.2">
      <c r="A32" s="6">
        <v>31</v>
      </c>
      <c r="B32" s="6" t="s">
        <v>407</v>
      </c>
      <c r="C32" s="6" t="s">
        <v>200</v>
      </c>
      <c r="D32" s="6" t="s">
        <v>408</v>
      </c>
      <c r="E32" s="6" t="s">
        <v>132</v>
      </c>
      <c r="F32" s="11" t="s">
        <v>409</v>
      </c>
      <c r="G32" s="6" t="s">
        <v>74</v>
      </c>
      <c r="H32" s="6" t="s">
        <v>75</v>
      </c>
      <c r="I32" s="6" t="s">
        <v>410</v>
      </c>
      <c r="J32" s="6" t="s">
        <v>411</v>
      </c>
      <c r="K32" s="6" t="s">
        <v>412</v>
      </c>
      <c r="L32" s="6" t="s">
        <v>413</v>
      </c>
      <c r="M32" s="6" t="s">
        <v>414</v>
      </c>
      <c r="N32" s="6" t="s">
        <v>415</v>
      </c>
      <c r="O32" s="11" t="s">
        <v>416</v>
      </c>
      <c r="P32" s="11" t="s">
        <v>417</v>
      </c>
      <c r="Q32" s="6" t="s">
        <v>37</v>
      </c>
      <c r="R32" s="12">
        <v>46190</v>
      </c>
      <c r="S32" s="6" t="s">
        <v>38</v>
      </c>
      <c r="T32" s="11" t="s">
        <v>418</v>
      </c>
      <c r="U32" s="6"/>
      <c r="V32" s="11"/>
    </row>
    <row r="33" spans="1:22" ht="27.75" customHeight="1" x14ac:dyDescent="0.2">
      <c r="A33" s="6">
        <v>32</v>
      </c>
      <c r="B33" s="6" t="s">
        <v>419</v>
      </c>
      <c r="C33" s="6" t="s">
        <v>200</v>
      </c>
      <c r="D33" s="6" t="s">
        <v>420</v>
      </c>
      <c r="E33" s="6" t="s">
        <v>25</v>
      </c>
      <c r="F33" s="11" t="s">
        <v>421</v>
      </c>
      <c r="G33" s="6" t="s">
        <v>74</v>
      </c>
      <c r="H33" s="6" t="s">
        <v>75</v>
      </c>
      <c r="I33" s="6" t="s">
        <v>422</v>
      </c>
      <c r="J33" s="6" t="s">
        <v>423</v>
      </c>
      <c r="K33" s="6" t="s">
        <v>32</v>
      </c>
      <c r="L33" s="6" t="s">
        <v>34</v>
      </c>
      <c r="M33" s="6" t="s">
        <v>33</v>
      </c>
      <c r="N33" s="6" t="s">
        <v>424</v>
      </c>
      <c r="O33" s="11" t="s">
        <v>425</v>
      </c>
      <c r="P33" s="11" t="s">
        <v>36</v>
      </c>
      <c r="Q33" s="6" t="s">
        <v>37</v>
      </c>
      <c r="R33" s="12">
        <v>46190</v>
      </c>
      <c r="S33" s="6" t="s">
        <v>38</v>
      </c>
      <c r="T33" s="11" t="s">
        <v>426</v>
      </c>
      <c r="U33" s="6"/>
      <c r="V33" s="11"/>
    </row>
    <row r="34" spans="1:22" ht="27.75" customHeight="1" x14ac:dyDescent="0.2">
      <c r="A34" s="6">
        <v>33</v>
      </c>
      <c r="B34" s="6" t="s">
        <v>427</v>
      </c>
      <c r="C34" s="6" t="s">
        <v>200</v>
      </c>
      <c r="D34" s="6" t="s">
        <v>428</v>
      </c>
      <c r="E34" s="6" t="s">
        <v>174</v>
      </c>
      <c r="F34" s="11" t="s">
        <v>429</v>
      </c>
      <c r="G34" s="6" t="s">
        <v>430</v>
      </c>
      <c r="H34" s="6" t="s">
        <v>431</v>
      </c>
      <c r="I34" s="6" t="s">
        <v>432</v>
      </c>
      <c r="J34" s="6" t="s">
        <v>433</v>
      </c>
      <c r="K34" s="6" t="s">
        <v>434</v>
      </c>
      <c r="L34" s="6" t="s">
        <v>435</v>
      </c>
      <c r="M34" s="6" t="s">
        <v>436</v>
      </c>
      <c r="N34" s="6" t="s">
        <v>437</v>
      </c>
      <c r="O34" s="11" t="s">
        <v>438</v>
      </c>
      <c r="P34" s="11" t="s">
        <v>439</v>
      </c>
      <c r="Q34" s="6" t="s">
        <v>37</v>
      </c>
      <c r="R34" s="12">
        <v>46190</v>
      </c>
      <c r="S34" s="6" t="s">
        <v>38</v>
      </c>
      <c r="T34" s="11" t="s">
        <v>440</v>
      </c>
      <c r="U34" s="6"/>
      <c r="V34" s="11"/>
    </row>
    <row r="35" spans="1:22" ht="15" customHeight="1" x14ac:dyDescent="0.2">
      <c r="A35" s="6">
        <v>34</v>
      </c>
      <c r="B35" s="6" t="s">
        <v>441</v>
      </c>
      <c r="C35" s="6" t="s">
        <v>200</v>
      </c>
      <c r="D35" s="6" t="s">
        <v>442</v>
      </c>
      <c r="E35" s="6" t="s">
        <v>87</v>
      </c>
      <c r="F35" s="11" t="s">
        <v>443</v>
      </c>
      <c r="G35" s="6" t="s">
        <v>89</v>
      </c>
      <c r="H35" s="6" t="s">
        <v>90</v>
      </c>
      <c r="I35" s="6" t="s">
        <v>444</v>
      </c>
      <c r="J35" s="6" t="s">
        <v>445</v>
      </c>
      <c r="K35" s="6" t="s">
        <v>446</v>
      </c>
      <c r="L35" s="6" t="s">
        <v>447</v>
      </c>
      <c r="M35" s="6" t="s">
        <v>448</v>
      </c>
      <c r="N35" s="6" t="s">
        <v>449</v>
      </c>
      <c r="O35" s="11" t="s">
        <v>450</v>
      </c>
      <c r="P35" s="11" t="s">
        <v>69</v>
      </c>
      <c r="Q35" s="6" t="s">
        <v>37</v>
      </c>
      <c r="R35" s="12">
        <v>46190</v>
      </c>
      <c r="S35" s="6" t="s">
        <v>38</v>
      </c>
      <c r="T35" s="11" t="s">
        <v>451</v>
      </c>
      <c r="U35" s="6"/>
      <c r="V35" s="11"/>
    </row>
    <row r="36" spans="1:22" ht="27.75" customHeight="1" x14ac:dyDescent="0.2">
      <c r="A36" s="6">
        <v>35</v>
      </c>
      <c r="B36" s="6" t="s">
        <v>452</v>
      </c>
      <c r="C36" s="6" t="s">
        <v>200</v>
      </c>
      <c r="D36" s="6" t="s">
        <v>453</v>
      </c>
      <c r="E36" s="6" t="s">
        <v>162</v>
      </c>
      <c r="F36" s="11" t="s">
        <v>454</v>
      </c>
      <c r="G36" s="6" t="s">
        <v>455</v>
      </c>
      <c r="H36" s="6" t="s">
        <v>456</v>
      </c>
      <c r="I36" s="6" t="s">
        <v>168</v>
      </c>
      <c r="J36" s="6" t="s">
        <v>167</v>
      </c>
      <c r="K36" s="6" t="s">
        <v>166</v>
      </c>
      <c r="L36" s="6" t="s">
        <v>165</v>
      </c>
      <c r="M36" s="6" t="s">
        <v>403</v>
      </c>
      <c r="N36" s="6" t="s">
        <v>164</v>
      </c>
      <c r="O36" s="11" t="s">
        <v>405</v>
      </c>
      <c r="P36" s="11" t="s">
        <v>69</v>
      </c>
      <c r="Q36" s="6" t="s">
        <v>37</v>
      </c>
      <c r="R36" s="12">
        <v>46190</v>
      </c>
      <c r="S36" s="6" t="s">
        <v>38</v>
      </c>
      <c r="T36" s="11" t="s">
        <v>457</v>
      </c>
      <c r="U36" s="6"/>
      <c r="V36" s="11"/>
    </row>
    <row r="37" spans="1:22" ht="27.75" customHeight="1" x14ac:dyDescent="0.2">
      <c r="A37" s="6">
        <v>36</v>
      </c>
      <c r="B37" s="6" t="s">
        <v>458</v>
      </c>
      <c r="C37" s="6" t="s">
        <v>200</v>
      </c>
      <c r="D37" s="6" t="s">
        <v>459</v>
      </c>
      <c r="E37" s="6" t="s">
        <v>132</v>
      </c>
      <c r="F37" s="11" t="s">
        <v>460</v>
      </c>
      <c r="G37" s="6" t="s">
        <v>461</v>
      </c>
      <c r="H37" s="6" t="s">
        <v>462</v>
      </c>
      <c r="I37" s="6" t="s">
        <v>463</v>
      </c>
      <c r="J37" s="6" t="s">
        <v>464</v>
      </c>
      <c r="K37" s="6" t="s">
        <v>465</v>
      </c>
      <c r="L37" s="6" t="s">
        <v>466</v>
      </c>
      <c r="M37" s="6" t="s">
        <v>467</v>
      </c>
      <c r="N37" s="6" t="s">
        <v>468</v>
      </c>
      <c r="O37" s="11" t="s">
        <v>469</v>
      </c>
      <c r="P37" s="11" t="s">
        <v>470</v>
      </c>
      <c r="Q37" s="6" t="s">
        <v>37</v>
      </c>
      <c r="R37" s="12">
        <v>46190</v>
      </c>
      <c r="S37" s="6" t="s">
        <v>38</v>
      </c>
      <c r="T37" s="11" t="s">
        <v>471</v>
      </c>
      <c r="U37" s="6"/>
      <c r="V37" s="11"/>
    </row>
    <row r="38" spans="1:22" ht="15" customHeight="1" x14ac:dyDescent="0.2">
      <c r="A38" s="6">
        <v>37</v>
      </c>
      <c r="B38" s="6" t="s">
        <v>472</v>
      </c>
      <c r="C38" s="6" t="s">
        <v>200</v>
      </c>
      <c r="D38" s="6" t="s">
        <v>473</v>
      </c>
      <c r="E38" s="6" t="s">
        <v>25</v>
      </c>
      <c r="F38" s="11" t="s">
        <v>474</v>
      </c>
      <c r="G38" s="6" t="s">
        <v>74</v>
      </c>
      <c r="H38" s="6" t="s">
        <v>75</v>
      </c>
      <c r="I38" s="6" t="s">
        <v>81</v>
      </c>
      <c r="J38" s="6" t="s">
        <v>475</v>
      </c>
      <c r="K38" s="6" t="s">
        <v>476</v>
      </c>
      <c r="L38" s="6" t="s">
        <v>477</v>
      </c>
      <c r="M38" s="6" t="s">
        <v>478</v>
      </c>
      <c r="N38" s="6" t="s">
        <v>479</v>
      </c>
      <c r="O38" s="11" t="s">
        <v>480</v>
      </c>
      <c r="P38" s="11" t="s">
        <v>69</v>
      </c>
      <c r="Q38" s="6" t="s">
        <v>37</v>
      </c>
      <c r="R38" s="12">
        <v>46190</v>
      </c>
      <c r="S38" s="6" t="s">
        <v>38</v>
      </c>
      <c r="T38" s="11" t="s">
        <v>481</v>
      </c>
      <c r="U38" s="6"/>
      <c r="V38" s="11"/>
    </row>
    <row r="39" spans="1:22" ht="27.75" customHeight="1" x14ac:dyDescent="0.2">
      <c r="A39" s="6">
        <v>38</v>
      </c>
      <c r="B39" s="6" t="s">
        <v>482</v>
      </c>
      <c r="C39" s="6" t="s">
        <v>200</v>
      </c>
      <c r="D39" s="6" t="s">
        <v>483</v>
      </c>
      <c r="E39" s="6" t="s">
        <v>174</v>
      </c>
      <c r="F39" s="11" t="s">
        <v>484</v>
      </c>
      <c r="G39" s="6" t="s">
        <v>60</v>
      </c>
      <c r="H39" s="6" t="s">
        <v>61</v>
      </c>
      <c r="I39" s="6" t="s">
        <v>485</v>
      </c>
      <c r="J39" s="6" t="s">
        <v>436</v>
      </c>
      <c r="K39" s="6" t="s">
        <v>434</v>
      </c>
      <c r="L39" s="6" t="s">
        <v>486</v>
      </c>
      <c r="M39" s="6" t="s">
        <v>435</v>
      </c>
      <c r="N39" s="6" t="s">
        <v>487</v>
      </c>
      <c r="O39" s="11" t="s">
        <v>488</v>
      </c>
      <c r="P39" s="11" t="s">
        <v>439</v>
      </c>
      <c r="Q39" s="6" t="s">
        <v>37</v>
      </c>
      <c r="R39" s="12">
        <v>46190</v>
      </c>
      <c r="S39" s="6" t="s">
        <v>38</v>
      </c>
      <c r="T39" s="11" t="s">
        <v>489</v>
      </c>
      <c r="U39" s="6"/>
      <c r="V39" s="11"/>
    </row>
    <row r="40" spans="1:22" ht="27.75" customHeight="1" x14ac:dyDescent="0.2">
      <c r="A40" s="6">
        <v>39</v>
      </c>
      <c r="B40" s="6" t="s">
        <v>490</v>
      </c>
      <c r="C40" s="6" t="s">
        <v>200</v>
      </c>
      <c r="D40" s="6" t="s">
        <v>491</v>
      </c>
      <c r="E40" s="6" t="s">
        <v>87</v>
      </c>
      <c r="F40" s="11" t="s">
        <v>492</v>
      </c>
      <c r="G40" s="6" t="s">
        <v>89</v>
      </c>
      <c r="H40" s="6" t="s">
        <v>90</v>
      </c>
      <c r="I40" s="6" t="s">
        <v>493</v>
      </c>
      <c r="J40" s="6" t="s">
        <v>494</v>
      </c>
      <c r="K40" s="6" t="s">
        <v>495</v>
      </c>
      <c r="L40" s="6" t="s">
        <v>496</v>
      </c>
      <c r="M40" s="6" t="s">
        <v>497</v>
      </c>
      <c r="N40" s="6" t="s">
        <v>498</v>
      </c>
      <c r="O40" s="11" t="s">
        <v>499</v>
      </c>
      <c r="P40" s="11" t="s">
        <v>500</v>
      </c>
      <c r="Q40" s="6" t="s">
        <v>37</v>
      </c>
      <c r="R40" s="12">
        <v>46190</v>
      </c>
      <c r="S40" s="6" t="s">
        <v>38</v>
      </c>
      <c r="T40" s="11" t="s">
        <v>501</v>
      </c>
      <c r="U40" s="6"/>
      <c r="V40" s="11"/>
    </row>
    <row r="41" spans="1:22" ht="42" customHeight="1" x14ac:dyDescent="0.2">
      <c r="A41" s="6">
        <v>40</v>
      </c>
      <c r="B41" s="6" t="s">
        <v>502</v>
      </c>
      <c r="C41" s="6" t="s">
        <v>200</v>
      </c>
      <c r="D41" s="6" t="s">
        <v>503</v>
      </c>
      <c r="E41" s="6" t="s">
        <v>162</v>
      </c>
      <c r="F41" s="11" t="s">
        <v>504</v>
      </c>
      <c r="G41" s="6" t="s">
        <v>505</v>
      </c>
      <c r="H41" s="6" t="s">
        <v>506</v>
      </c>
      <c r="I41" s="6" t="s">
        <v>507</v>
      </c>
      <c r="J41" s="6" t="s">
        <v>508</v>
      </c>
      <c r="K41" s="6" t="s">
        <v>509</v>
      </c>
      <c r="L41" s="6" t="s">
        <v>510</v>
      </c>
      <c r="M41" s="6" t="s">
        <v>511</v>
      </c>
      <c r="N41" s="6" t="s">
        <v>512</v>
      </c>
      <c r="O41" s="11" t="s">
        <v>513</v>
      </c>
      <c r="P41" s="11" t="s">
        <v>514</v>
      </c>
      <c r="Q41" s="6" t="s">
        <v>37</v>
      </c>
      <c r="R41" s="12">
        <v>46190</v>
      </c>
      <c r="S41" s="6" t="s">
        <v>38</v>
      </c>
      <c r="T41" s="11" t="s">
        <v>515</v>
      </c>
      <c r="U41" s="6"/>
      <c r="V41" s="11"/>
    </row>
    <row r="42" spans="1:22" ht="27.75" customHeight="1" x14ac:dyDescent="0.2">
      <c r="A42" s="6">
        <v>41</v>
      </c>
      <c r="B42" s="6" t="s">
        <v>516</v>
      </c>
      <c r="C42" s="6" t="s">
        <v>200</v>
      </c>
      <c r="D42" s="6" t="s">
        <v>517</v>
      </c>
      <c r="E42" s="6" t="s">
        <v>25</v>
      </c>
      <c r="F42" s="11" t="s">
        <v>518</v>
      </c>
      <c r="G42" s="6" t="s">
        <v>134</v>
      </c>
      <c r="H42" s="6" t="s">
        <v>252</v>
      </c>
      <c r="I42" s="6" t="s">
        <v>519</v>
      </c>
      <c r="J42" s="6" t="s">
        <v>520</v>
      </c>
      <c r="K42" s="6" t="s">
        <v>521</v>
      </c>
      <c r="L42" s="6" t="s">
        <v>522</v>
      </c>
      <c r="M42" s="6" t="s">
        <v>523</v>
      </c>
      <c r="N42" s="6" t="s">
        <v>524</v>
      </c>
      <c r="O42" s="11" t="s">
        <v>525</v>
      </c>
      <c r="P42" s="11" t="s">
        <v>69</v>
      </c>
      <c r="Q42" s="6" t="s">
        <v>37</v>
      </c>
      <c r="R42" s="12">
        <v>46190</v>
      </c>
      <c r="S42" s="6" t="s">
        <v>38</v>
      </c>
      <c r="T42" s="11" t="s">
        <v>526</v>
      </c>
      <c r="U42" s="6" t="s">
        <v>527</v>
      </c>
      <c r="V42" s="11"/>
    </row>
    <row r="43" spans="1:22" ht="27.75" customHeight="1" x14ac:dyDescent="0.2">
      <c r="A43" s="6">
        <v>42</v>
      </c>
      <c r="B43" s="6" t="s">
        <v>528</v>
      </c>
      <c r="C43" s="6" t="s">
        <v>200</v>
      </c>
      <c r="D43" s="6" t="s">
        <v>529</v>
      </c>
      <c r="E43" s="6" t="s">
        <v>174</v>
      </c>
      <c r="F43" s="11" t="s">
        <v>530</v>
      </c>
      <c r="G43" s="6" t="s">
        <v>531</v>
      </c>
      <c r="H43" s="6" t="s">
        <v>46</v>
      </c>
      <c r="I43" s="6" t="s">
        <v>532</v>
      </c>
      <c r="J43" s="6" t="s">
        <v>533</v>
      </c>
      <c r="K43" s="6" t="s">
        <v>534</v>
      </c>
      <c r="L43" s="6" t="s">
        <v>535</v>
      </c>
      <c r="M43" s="6" t="s">
        <v>536</v>
      </c>
      <c r="N43" s="6" t="s">
        <v>537</v>
      </c>
      <c r="O43" s="11" t="s">
        <v>538</v>
      </c>
      <c r="P43" s="11" t="s">
        <v>69</v>
      </c>
      <c r="Q43" s="6" t="s">
        <v>37</v>
      </c>
      <c r="R43" s="12">
        <v>46190</v>
      </c>
      <c r="S43" s="6" t="s">
        <v>38</v>
      </c>
      <c r="T43" s="11" t="s">
        <v>539</v>
      </c>
      <c r="U43" s="6"/>
      <c r="V43" s="11"/>
    </row>
    <row r="44" spans="1:22" ht="55.5" customHeight="1" x14ac:dyDescent="0.2">
      <c r="A44" s="6">
        <v>43</v>
      </c>
      <c r="B44" s="6" t="s">
        <v>540</v>
      </c>
      <c r="C44" s="6" t="s">
        <v>200</v>
      </c>
      <c r="D44" s="6" t="s">
        <v>541</v>
      </c>
      <c r="E44" s="6" t="s">
        <v>87</v>
      </c>
      <c r="F44" s="11" t="s">
        <v>542</v>
      </c>
      <c r="G44" s="6" t="s">
        <v>89</v>
      </c>
      <c r="H44" s="6" t="s">
        <v>90</v>
      </c>
      <c r="I44" s="6" t="s">
        <v>543</v>
      </c>
      <c r="J44" s="6" t="s">
        <v>544</v>
      </c>
      <c r="K44" s="6" t="s">
        <v>545</v>
      </c>
      <c r="L44" s="6" t="s">
        <v>546</v>
      </c>
      <c r="M44" s="6" t="s">
        <v>547</v>
      </c>
      <c r="N44" s="6" t="s">
        <v>548</v>
      </c>
      <c r="O44" s="11" t="s">
        <v>549</v>
      </c>
      <c r="P44" s="11" t="s">
        <v>550</v>
      </c>
      <c r="Q44" s="6" t="s">
        <v>37</v>
      </c>
      <c r="R44" s="12">
        <v>46190</v>
      </c>
      <c r="S44" s="6" t="s">
        <v>38</v>
      </c>
      <c r="T44" s="11" t="s">
        <v>551</v>
      </c>
      <c r="U44" s="6"/>
      <c r="V44" s="11"/>
    </row>
    <row r="45" spans="1:22" ht="27.75" customHeight="1" x14ac:dyDescent="0.2">
      <c r="A45" s="6">
        <v>44</v>
      </c>
      <c r="B45" s="6" t="s">
        <v>552</v>
      </c>
      <c r="C45" s="6" t="s">
        <v>200</v>
      </c>
      <c r="D45" s="6" t="s">
        <v>553</v>
      </c>
      <c r="E45" s="6" t="s">
        <v>43</v>
      </c>
      <c r="F45" s="11" t="s">
        <v>554</v>
      </c>
      <c r="G45" s="6" t="s">
        <v>74</v>
      </c>
      <c r="H45" s="6" t="s">
        <v>75</v>
      </c>
      <c r="I45" s="6" t="s">
        <v>555</v>
      </c>
      <c r="J45" s="6" t="s">
        <v>205</v>
      </c>
      <c r="K45" s="6" t="s">
        <v>208</v>
      </c>
      <c r="L45" s="6" t="s">
        <v>207</v>
      </c>
      <c r="M45" s="6" t="s">
        <v>209</v>
      </c>
      <c r="N45" s="6" t="s">
        <v>556</v>
      </c>
      <c r="O45" s="11" t="s">
        <v>557</v>
      </c>
      <c r="P45" s="11" t="s">
        <v>232</v>
      </c>
      <c r="Q45" s="6" t="s">
        <v>37</v>
      </c>
      <c r="R45" s="12">
        <v>46190</v>
      </c>
      <c r="S45" s="6" t="s">
        <v>38</v>
      </c>
      <c r="T45" s="11" t="s">
        <v>558</v>
      </c>
      <c r="U45" s="6" t="s">
        <v>527</v>
      </c>
      <c r="V45" s="11"/>
    </row>
    <row r="46" spans="1:22" ht="27.75" customHeight="1" x14ac:dyDescent="0.2">
      <c r="A46" s="6">
        <v>45</v>
      </c>
      <c r="B46" s="6" t="s">
        <v>559</v>
      </c>
      <c r="C46" s="6" t="s">
        <v>200</v>
      </c>
      <c r="D46" s="6" t="s">
        <v>560</v>
      </c>
      <c r="E46" s="6" t="s">
        <v>561</v>
      </c>
      <c r="F46" s="11" t="s">
        <v>562</v>
      </c>
      <c r="G46" s="6" t="s">
        <v>134</v>
      </c>
      <c r="H46" s="6" t="s">
        <v>135</v>
      </c>
      <c r="I46" s="6" t="s">
        <v>563</v>
      </c>
      <c r="J46" s="6" t="s">
        <v>564</v>
      </c>
      <c r="K46" s="6" t="s">
        <v>565</v>
      </c>
      <c r="L46" s="6" t="s">
        <v>566</v>
      </c>
      <c r="M46" s="6" t="s">
        <v>567</v>
      </c>
      <c r="N46" s="6" t="s">
        <v>568</v>
      </c>
      <c r="O46" s="11" t="s">
        <v>569</v>
      </c>
      <c r="P46" s="11" t="s">
        <v>570</v>
      </c>
      <c r="Q46" s="6" t="s">
        <v>37</v>
      </c>
      <c r="R46" s="12">
        <v>46190</v>
      </c>
      <c r="S46" s="6" t="s">
        <v>38</v>
      </c>
      <c r="T46" s="11" t="s">
        <v>571</v>
      </c>
      <c r="U46" s="6"/>
      <c r="V46" s="11"/>
    </row>
    <row r="47" spans="1:22" ht="27.75" customHeight="1" x14ac:dyDescent="0.2">
      <c r="A47" s="6">
        <v>46</v>
      </c>
      <c r="B47" s="6" t="s">
        <v>572</v>
      </c>
      <c r="C47" s="6" t="s">
        <v>200</v>
      </c>
      <c r="D47" s="6" t="s">
        <v>573</v>
      </c>
      <c r="E47" s="6" t="s">
        <v>574</v>
      </c>
      <c r="F47" s="11" t="s">
        <v>575</v>
      </c>
      <c r="G47" s="6" t="s">
        <v>576</v>
      </c>
      <c r="H47" s="6" t="s">
        <v>577</v>
      </c>
      <c r="I47" s="6" t="s">
        <v>578</v>
      </c>
      <c r="J47" s="6" t="s">
        <v>579</v>
      </c>
      <c r="K47" s="6" t="s">
        <v>580</v>
      </c>
      <c r="L47" s="6" t="s">
        <v>581</v>
      </c>
      <c r="M47" s="6" t="s">
        <v>582</v>
      </c>
      <c r="N47" s="6" t="s">
        <v>583</v>
      </c>
      <c r="O47" s="11" t="s">
        <v>584</v>
      </c>
      <c r="P47" s="11" t="s">
        <v>585</v>
      </c>
      <c r="Q47" s="6" t="s">
        <v>37</v>
      </c>
      <c r="R47" s="12">
        <v>46190</v>
      </c>
      <c r="S47" s="6" t="s">
        <v>38</v>
      </c>
      <c r="T47" s="11" t="s">
        <v>586</v>
      </c>
      <c r="U47" s="6" t="s">
        <v>527</v>
      </c>
      <c r="V47" s="11"/>
    </row>
    <row r="48" spans="1:22" ht="27.75" customHeight="1" x14ac:dyDescent="0.2">
      <c r="A48" s="6">
        <v>47</v>
      </c>
      <c r="B48" s="6" t="s">
        <v>587</v>
      </c>
      <c r="C48" s="6" t="s">
        <v>200</v>
      </c>
      <c r="D48" s="6" t="s">
        <v>588</v>
      </c>
      <c r="E48" s="6" t="s">
        <v>87</v>
      </c>
      <c r="F48" s="11" t="s">
        <v>589</v>
      </c>
      <c r="G48" s="6" t="s">
        <v>89</v>
      </c>
      <c r="H48" s="6" t="s">
        <v>90</v>
      </c>
      <c r="I48" s="6" t="s">
        <v>590</v>
      </c>
      <c r="J48" s="6" t="s">
        <v>591</v>
      </c>
      <c r="K48" s="6" t="s">
        <v>592</v>
      </c>
      <c r="L48" s="6" t="s">
        <v>593</v>
      </c>
      <c r="M48" s="6" t="s">
        <v>594</v>
      </c>
      <c r="N48" s="6" t="s">
        <v>595</v>
      </c>
      <c r="O48" s="11" t="s">
        <v>596</v>
      </c>
      <c r="P48" s="11" t="s">
        <v>69</v>
      </c>
      <c r="Q48" s="6" t="s">
        <v>37</v>
      </c>
      <c r="R48" s="12">
        <v>46190</v>
      </c>
      <c r="S48" s="6" t="s">
        <v>38</v>
      </c>
      <c r="T48" s="11" t="s">
        <v>597</v>
      </c>
      <c r="U48" s="6"/>
      <c r="V48" s="11"/>
    </row>
    <row r="49" spans="1:22" ht="27.75" customHeight="1" x14ac:dyDescent="0.2">
      <c r="A49" s="6">
        <v>48</v>
      </c>
      <c r="B49" s="6" t="s">
        <v>598</v>
      </c>
      <c r="C49" s="6" t="s">
        <v>200</v>
      </c>
      <c r="D49" s="6" t="s">
        <v>599</v>
      </c>
      <c r="E49" s="6" t="s">
        <v>600</v>
      </c>
      <c r="F49" s="11" t="s">
        <v>601</v>
      </c>
      <c r="G49" s="6" t="s">
        <v>149</v>
      </c>
      <c r="H49" s="6" t="s">
        <v>150</v>
      </c>
      <c r="I49" s="6" t="s">
        <v>602</v>
      </c>
      <c r="J49" s="6" t="s">
        <v>603</v>
      </c>
      <c r="K49" s="6" t="s">
        <v>604</v>
      </c>
      <c r="L49" s="6" t="s">
        <v>605</v>
      </c>
      <c r="M49" s="6" t="s">
        <v>606</v>
      </c>
      <c r="N49" s="6" t="s">
        <v>607</v>
      </c>
      <c r="O49" s="11" t="s">
        <v>608</v>
      </c>
      <c r="P49" s="11" t="s">
        <v>69</v>
      </c>
      <c r="Q49" s="6" t="s">
        <v>37</v>
      </c>
      <c r="R49" s="12">
        <v>46190</v>
      </c>
      <c r="S49" s="6" t="s">
        <v>38</v>
      </c>
      <c r="T49" s="11" t="s">
        <v>609</v>
      </c>
      <c r="U49" s="6"/>
      <c r="V49" s="11"/>
    </row>
    <row r="50" spans="1:22" ht="27.75" customHeight="1" x14ac:dyDescent="0.2">
      <c r="A50" s="6">
        <v>49</v>
      </c>
      <c r="B50" s="6" t="s">
        <v>610</v>
      </c>
      <c r="C50" s="6" t="s">
        <v>200</v>
      </c>
      <c r="D50" s="6" t="s">
        <v>611</v>
      </c>
      <c r="E50" s="6" t="s">
        <v>612</v>
      </c>
      <c r="F50" s="11" t="s">
        <v>613</v>
      </c>
      <c r="G50" s="6" t="s">
        <v>74</v>
      </c>
      <c r="H50" s="6" t="s">
        <v>75</v>
      </c>
      <c r="I50" s="6" t="s">
        <v>614</v>
      </c>
      <c r="J50" s="6" t="s">
        <v>615</v>
      </c>
      <c r="K50" s="6" t="s">
        <v>616</v>
      </c>
      <c r="L50" s="6" t="s">
        <v>617</v>
      </c>
      <c r="M50" s="6" t="s">
        <v>618</v>
      </c>
      <c r="N50" s="6" t="s">
        <v>619</v>
      </c>
      <c r="O50" s="11" t="s">
        <v>620</v>
      </c>
      <c r="P50" s="11" t="s">
        <v>69</v>
      </c>
      <c r="Q50" s="6" t="s">
        <v>37</v>
      </c>
      <c r="R50" s="12">
        <v>46190</v>
      </c>
      <c r="S50" s="6" t="s">
        <v>38</v>
      </c>
      <c r="T50" s="11" t="s">
        <v>621</v>
      </c>
      <c r="U50" s="6"/>
      <c r="V50" s="11"/>
    </row>
    <row r="51" spans="1:22" ht="27.75" customHeight="1" x14ac:dyDescent="0.2">
      <c r="A51" s="6">
        <v>50</v>
      </c>
      <c r="B51" s="6" t="s">
        <v>622</v>
      </c>
      <c r="C51" s="6" t="s">
        <v>200</v>
      </c>
      <c r="D51" s="6" t="s">
        <v>623</v>
      </c>
      <c r="E51" s="6" t="s">
        <v>174</v>
      </c>
      <c r="F51" s="11" t="s">
        <v>624</v>
      </c>
      <c r="G51" s="6" t="s">
        <v>321</v>
      </c>
      <c r="H51" s="6" t="s">
        <v>322</v>
      </c>
      <c r="I51" s="6" t="s">
        <v>625</v>
      </c>
      <c r="J51" s="6" t="s">
        <v>626</v>
      </c>
      <c r="K51" s="6" t="s">
        <v>627</v>
      </c>
      <c r="L51" s="6" t="s">
        <v>628</v>
      </c>
      <c r="M51" s="6" t="s">
        <v>629</v>
      </c>
      <c r="N51" s="6" t="s">
        <v>630</v>
      </c>
      <c r="O51" s="11" t="s">
        <v>631</v>
      </c>
      <c r="P51" s="11" t="s">
        <v>632</v>
      </c>
      <c r="Q51" s="6" t="s">
        <v>37</v>
      </c>
      <c r="R51" s="12">
        <v>46190</v>
      </c>
      <c r="S51" s="6" t="s">
        <v>38</v>
      </c>
      <c r="T51" s="11" t="s">
        <v>633</v>
      </c>
      <c r="U51" s="6"/>
      <c r="V51" s="11"/>
    </row>
    <row r="52" spans="1:22" ht="27.75" customHeight="1" x14ac:dyDescent="0.2">
      <c r="A52" s="6">
        <v>51</v>
      </c>
      <c r="B52" s="6" t="s">
        <v>634</v>
      </c>
      <c r="C52" s="6" t="s">
        <v>200</v>
      </c>
      <c r="D52" s="6" t="s">
        <v>635</v>
      </c>
      <c r="E52" s="6" t="s">
        <v>25</v>
      </c>
      <c r="F52" s="11" t="s">
        <v>636</v>
      </c>
      <c r="G52" s="6" t="s">
        <v>74</v>
      </c>
      <c r="H52" s="6" t="s">
        <v>75</v>
      </c>
      <c r="I52" s="6" t="s">
        <v>637</v>
      </c>
      <c r="J52" s="6" t="s">
        <v>638</v>
      </c>
      <c r="K52" s="6" t="s">
        <v>639</v>
      </c>
      <c r="L52" s="6" t="s">
        <v>640</v>
      </c>
      <c r="M52" s="6" t="s">
        <v>641</v>
      </c>
      <c r="N52" s="6" t="s">
        <v>642</v>
      </c>
      <c r="O52" s="11" t="s">
        <v>643</v>
      </c>
      <c r="P52" s="11" t="s">
        <v>69</v>
      </c>
      <c r="Q52" s="6" t="s">
        <v>37</v>
      </c>
      <c r="R52" s="12">
        <v>46190</v>
      </c>
      <c r="S52" s="6" t="s">
        <v>38</v>
      </c>
      <c r="T52" s="11" t="s">
        <v>644</v>
      </c>
      <c r="U52" s="6"/>
      <c r="V52" s="11"/>
    </row>
    <row r="53" spans="1:22" ht="27.75" customHeight="1" x14ac:dyDescent="0.2">
      <c r="A53" s="6">
        <v>52</v>
      </c>
      <c r="B53" s="6" t="s">
        <v>645</v>
      </c>
      <c r="C53" s="6" t="s">
        <v>200</v>
      </c>
      <c r="D53" s="6" t="s">
        <v>646</v>
      </c>
      <c r="E53" s="6" t="s">
        <v>174</v>
      </c>
      <c r="F53" s="11" t="s">
        <v>647</v>
      </c>
      <c r="G53" s="6" t="s">
        <v>648</v>
      </c>
      <c r="H53" s="6" t="s">
        <v>577</v>
      </c>
      <c r="I53" s="6" t="s">
        <v>649</v>
      </c>
      <c r="J53" s="6" t="s">
        <v>650</v>
      </c>
      <c r="K53" s="6" t="s">
        <v>651</v>
      </c>
      <c r="L53" s="6" t="s">
        <v>652</v>
      </c>
      <c r="M53" s="6" t="s">
        <v>653</v>
      </c>
      <c r="N53" s="6" t="s">
        <v>654</v>
      </c>
      <c r="O53" s="11" t="s">
        <v>655</v>
      </c>
      <c r="P53" s="11" t="s">
        <v>656</v>
      </c>
      <c r="Q53" s="6" t="s">
        <v>37</v>
      </c>
      <c r="R53" s="12">
        <v>46190</v>
      </c>
      <c r="S53" s="6" t="s">
        <v>38</v>
      </c>
      <c r="T53" s="11" t="s">
        <v>657</v>
      </c>
      <c r="U53" s="6" t="s">
        <v>527</v>
      </c>
      <c r="V53" s="11"/>
    </row>
    <row r="54" spans="1:22" ht="27.75" customHeight="1" x14ac:dyDescent="0.2">
      <c r="A54" s="6">
        <v>53</v>
      </c>
      <c r="B54" s="6" t="s">
        <v>658</v>
      </c>
      <c r="C54" s="6" t="s">
        <v>200</v>
      </c>
      <c r="D54" s="6" t="s">
        <v>659</v>
      </c>
      <c r="E54" s="6" t="s">
        <v>660</v>
      </c>
      <c r="F54" s="11" t="s">
        <v>661</v>
      </c>
      <c r="G54" s="6" t="s">
        <v>89</v>
      </c>
      <c r="H54" s="6" t="s">
        <v>90</v>
      </c>
      <c r="I54" s="6" t="s">
        <v>494</v>
      </c>
      <c r="J54" s="6" t="s">
        <v>495</v>
      </c>
      <c r="K54" s="6" t="s">
        <v>662</v>
      </c>
      <c r="L54" s="6" t="s">
        <v>663</v>
      </c>
      <c r="M54" s="6" t="s">
        <v>664</v>
      </c>
      <c r="N54" s="6" t="s">
        <v>665</v>
      </c>
      <c r="O54" s="11" t="s">
        <v>666</v>
      </c>
      <c r="P54" s="11" t="s">
        <v>69</v>
      </c>
      <c r="Q54" s="6" t="s">
        <v>37</v>
      </c>
      <c r="R54" s="12">
        <v>46190</v>
      </c>
      <c r="S54" s="6" t="s">
        <v>38</v>
      </c>
      <c r="T54" s="11" t="s">
        <v>667</v>
      </c>
      <c r="U54" s="6" t="s">
        <v>527</v>
      </c>
      <c r="V54" s="11"/>
    </row>
    <row r="55" spans="1:22" ht="27.75" customHeight="1" x14ac:dyDescent="0.2">
      <c r="A55" s="6">
        <v>54</v>
      </c>
      <c r="B55" s="6" t="s">
        <v>668</v>
      </c>
      <c r="C55" s="6" t="s">
        <v>200</v>
      </c>
      <c r="D55" s="6" t="s">
        <v>669</v>
      </c>
      <c r="E55" s="6" t="s">
        <v>174</v>
      </c>
      <c r="F55" s="11" t="s">
        <v>670</v>
      </c>
      <c r="G55" s="6" t="s">
        <v>671</v>
      </c>
      <c r="H55" s="6" t="s">
        <v>672</v>
      </c>
      <c r="I55" s="6" t="s">
        <v>673</v>
      </c>
      <c r="J55" s="6" t="s">
        <v>674</v>
      </c>
      <c r="K55" s="6" t="s">
        <v>675</v>
      </c>
      <c r="L55" s="6" t="s">
        <v>676</v>
      </c>
      <c r="M55" s="6" t="s">
        <v>677</v>
      </c>
      <c r="N55" s="6" t="s">
        <v>678</v>
      </c>
      <c r="O55" s="11" t="s">
        <v>97</v>
      </c>
      <c r="P55" s="11" t="s">
        <v>69</v>
      </c>
      <c r="Q55" s="6" t="s">
        <v>37</v>
      </c>
      <c r="R55" s="12">
        <v>46190</v>
      </c>
      <c r="S55" s="6" t="s">
        <v>38</v>
      </c>
      <c r="T55" s="11" t="s">
        <v>679</v>
      </c>
      <c r="U55" s="6"/>
      <c r="V55" s="11"/>
    </row>
    <row r="56" spans="1:22" ht="27.75" customHeight="1" x14ac:dyDescent="0.2">
      <c r="A56" s="6">
        <v>55</v>
      </c>
      <c r="B56" s="6" t="s">
        <v>680</v>
      </c>
      <c r="C56" s="6" t="s">
        <v>200</v>
      </c>
      <c r="D56" s="6" t="s">
        <v>681</v>
      </c>
      <c r="E56" s="6" t="s">
        <v>25</v>
      </c>
      <c r="F56" s="11" t="s">
        <v>682</v>
      </c>
      <c r="G56" s="6" t="s">
        <v>683</v>
      </c>
      <c r="H56" s="6" t="s">
        <v>684</v>
      </c>
      <c r="I56" s="6" t="s">
        <v>685</v>
      </c>
      <c r="J56" s="6" t="s">
        <v>686</v>
      </c>
      <c r="K56" s="6" t="s">
        <v>687</v>
      </c>
      <c r="L56" s="6" t="s">
        <v>256</v>
      </c>
      <c r="M56" s="6" t="s">
        <v>688</v>
      </c>
      <c r="N56" s="6" t="s">
        <v>257</v>
      </c>
      <c r="O56" s="11" t="s">
        <v>259</v>
      </c>
      <c r="P56" s="11" t="s">
        <v>69</v>
      </c>
      <c r="Q56" s="6" t="s">
        <v>37</v>
      </c>
      <c r="R56" s="12">
        <v>46190</v>
      </c>
      <c r="S56" s="6" t="s">
        <v>38</v>
      </c>
      <c r="T56" s="11" t="s">
        <v>689</v>
      </c>
      <c r="U56" s="6"/>
      <c r="V56" s="11"/>
    </row>
    <row r="57" spans="1:22" ht="27.75" customHeight="1" x14ac:dyDescent="0.2">
      <c r="A57" s="6">
        <v>56</v>
      </c>
      <c r="B57" s="6" t="s">
        <v>690</v>
      </c>
      <c r="C57" s="6" t="s">
        <v>200</v>
      </c>
      <c r="D57" s="6" t="s">
        <v>691</v>
      </c>
      <c r="E57" s="6" t="s">
        <v>174</v>
      </c>
      <c r="F57" s="11" t="s">
        <v>692</v>
      </c>
      <c r="G57" s="6" t="s">
        <v>693</v>
      </c>
      <c r="H57" s="6" t="s">
        <v>694</v>
      </c>
      <c r="I57" s="6" t="s">
        <v>695</v>
      </c>
      <c r="J57" s="6" t="s">
        <v>696</v>
      </c>
      <c r="K57" s="6" t="s">
        <v>697</v>
      </c>
      <c r="L57" s="6" t="s">
        <v>698</v>
      </c>
      <c r="M57" s="6" t="s">
        <v>699</v>
      </c>
      <c r="N57" s="6" t="s">
        <v>700</v>
      </c>
      <c r="O57" s="11" t="s">
        <v>701</v>
      </c>
      <c r="P57" s="11" t="s">
        <v>702</v>
      </c>
      <c r="Q57" s="6" t="s">
        <v>37</v>
      </c>
      <c r="R57" s="12">
        <v>46190</v>
      </c>
      <c r="S57" s="6" t="s">
        <v>38</v>
      </c>
      <c r="T57" s="11" t="s">
        <v>703</v>
      </c>
      <c r="U57" s="6" t="s">
        <v>527</v>
      </c>
      <c r="V57" s="11"/>
    </row>
    <row r="58" spans="1:22" ht="27.75" customHeight="1" x14ac:dyDescent="0.2">
      <c r="A58" s="6">
        <v>57</v>
      </c>
      <c r="B58" s="6" t="s">
        <v>704</v>
      </c>
      <c r="C58" s="6" t="s">
        <v>200</v>
      </c>
      <c r="D58" s="6" t="s">
        <v>705</v>
      </c>
      <c r="E58" s="6" t="s">
        <v>87</v>
      </c>
      <c r="F58" s="11" t="s">
        <v>706</v>
      </c>
      <c r="G58" s="6" t="s">
        <v>707</v>
      </c>
      <c r="H58" s="6" t="s">
        <v>708</v>
      </c>
      <c r="I58" s="6" t="s">
        <v>709</v>
      </c>
      <c r="J58" s="6" t="s">
        <v>710</v>
      </c>
      <c r="K58" s="6" t="s">
        <v>711</v>
      </c>
      <c r="L58" s="6" t="s">
        <v>712</v>
      </c>
      <c r="M58" s="6" t="s">
        <v>713</v>
      </c>
      <c r="N58" s="6" t="s">
        <v>714</v>
      </c>
      <c r="O58" s="11" t="s">
        <v>715</v>
      </c>
      <c r="P58" s="11" t="s">
        <v>716</v>
      </c>
      <c r="Q58" s="6" t="s">
        <v>37</v>
      </c>
      <c r="R58" s="12">
        <v>46190</v>
      </c>
      <c r="S58" s="6" t="s">
        <v>38</v>
      </c>
      <c r="T58" s="11" t="s">
        <v>717</v>
      </c>
      <c r="U58" s="6"/>
      <c r="V58" s="11"/>
    </row>
    <row r="59" spans="1:22" ht="27.75" customHeight="1" x14ac:dyDescent="0.2">
      <c r="A59" s="6">
        <v>58</v>
      </c>
      <c r="B59" s="6" t="s">
        <v>718</v>
      </c>
      <c r="C59" s="6" t="s">
        <v>200</v>
      </c>
      <c r="D59" s="6" t="s">
        <v>719</v>
      </c>
      <c r="E59" s="6" t="s">
        <v>162</v>
      </c>
      <c r="F59" s="11" t="s">
        <v>720</v>
      </c>
      <c r="G59" s="6" t="s">
        <v>134</v>
      </c>
      <c r="H59" s="6" t="s">
        <v>135</v>
      </c>
      <c r="I59" s="6" t="s">
        <v>168</v>
      </c>
      <c r="J59" s="6" t="s">
        <v>166</v>
      </c>
      <c r="K59" s="6" t="s">
        <v>165</v>
      </c>
      <c r="L59" s="6" t="s">
        <v>403</v>
      </c>
      <c r="M59" s="6" t="s">
        <v>721</v>
      </c>
      <c r="N59" s="6" t="s">
        <v>164</v>
      </c>
      <c r="O59" s="11" t="s">
        <v>405</v>
      </c>
      <c r="P59" s="11" t="s">
        <v>69</v>
      </c>
      <c r="Q59" s="6" t="s">
        <v>37</v>
      </c>
      <c r="R59" s="12">
        <v>46190</v>
      </c>
      <c r="S59" s="6" t="s">
        <v>38</v>
      </c>
      <c r="T59" s="11" t="s">
        <v>722</v>
      </c>
      <c r="U59" s="6" t="s">
        <v>527</v>
      </c>
      <c r="V59" s="11"/>
    </row>
    <row r="60" spans="1:22" ht="27.75" customHeight="1" x14ac:dyDescent="0.2">
      <c r="A60" s="6">
        <v>59</v>
      </c>
      <c r="B60" s="6" t="s">
        <v>723</v>
      </c>
      <c r="C60" s="6" t="s">
        <v>200</v>
      </c>
      <c r="D60" s="6" t="s">
        <v>724</v>
      </c>
      <c r="E60" s="6" t="s">
        <v>174</v>
      </c>
      <c r="F60" s="11" t="s">
        <v>725</v>
      </c>
      <c r="G60" s="6" t="s">
        <v>726</v>
      </c>
      <c r="H60" s="6" t="s">
        <v>727</v>
      </c>
      <c r="I60" s="6" t="s">
        <v>728</v>
      </c>
      <c r="J60" s="6" t="s">
        <v>729</v>
      </c>
      <c r="K60" s="6" t="s">
        <v>730</v>
      </c>
      <c r="L60" s="6" t="s">
        <v>731</v>
      </c>
      <c r="M60" s="6" t="s">
        <v>732</v>
      </c>
      <c r="N60" s="6" t="s">
        <v>733</v>
      </c>
      <c r="O60" s="11" t="s">
        <v>734</v>
      </c>
      <c r="P60" s="11" t="s">
        <v>735</v>
      </c>
      <c r="Q60" s="6" t="s">
        <v>37</v>
      </c>
      <c r="R60" s="12">
        <v>46190</v>
      </c>
      <c r="S60" s="6" t="s">
        <v>38</v>
      </c>
      <c r="T60" s="11" t="s">
        <v>736</v>
      </c>
      <c r="U60" s="6"/>
      <c r="V60" s="11"/>
    </row>
    <row r="61" spans="1:22" ht="27.75" customHeight="1" x14ac:dyDescent="0.2">
      <c r="A61" s="6">
        <v>60</v>
      </c>
      <c r="B61" s="6" t="s">
        <v>737</v>
      </c>
      <c r="C61" s="6" t="s">
        <v>200</v>
      </c>
      <c r="D61" s="6" t="s">
        <v>738</v>
      </c>
      <c r="E61" s="6" t="s">
        <v>43</v>
      </c>
      <c r="F61" s="11" t="s">
        <v>739</v>
      </c>
      <c r="G61" s="6" t="s">
        <v>740</v>
      </c>
      <c r="H61" s="6" t="s">
        <v>741</v>
      </c>
      <c r="I61" s="6" t="s">
        <v>205</v>
      </c>
      <c r="J61" s="6" t="s">
        <v>206</v>
      </c>
      <c r="K61" s="6" t="s">
        <v>207</v>
      </c>
      <c r="L61" s="6" t="s">
        <v>208</v>
      </c>
      <c r="M61" s="6" t="s">
        <v>209</v>
      </c>
      <c r="N61" s="6" t="s">
        <v>210</v>
      </c>
      <c r="O61" s="11" t="s">
        <v>742</v>
      </c>
      <c r="P61" s="11" t="s">
        <v>232</v>
      </c>
      <c r="Q61" s="6" t="s">
        <v>37</v>
      </c>
      <c r="R61" s="12">
        <v>46190</v>
      </c>
      <c r="S61" s="6" t="s">
        <v>38</v>
      </c>
      <c r="T61" s="11" t="s">
        <v>743</v>
      </c>
      <c r="U61" s="6"/>
      <c r="V61" s="11"/>
    </row>
    <row r="62" spans="1:22" ht="27.75" customHeight="1" x14ac:dyDescent="0.2">
      <c r="A62" s="6">
        <v>61</v>
      </c>
      <c r="B62" s="6" t="s">
        <v>744</v>
      </c>
      <c r="C62" s="6" t="s">
        <v>200</v>
      </c>
      <c r="D62" s="6" t="s">
        <v>745</v>
      </c>
      <c r="E62" s="6" t="s">
        <v>25</v>
      </c>
      <c r="F62" s="11" t="s">
        <v>746</v>
      </c>
      <c r="G62" s="6" t="s">
        <v>27</v>
      </c>
      <c r="H62" s="6" t="s">
        <v>28</v>
      </c>
      <c r="I62" s="6" t="s">
        <v>747</v>
      </c>
      <c r="J62" s="6" t="s">
        <v>280</v>
      </c>
      <c r="K62" s="6" t="s">
        <v>270</v>
      </c>
      <c r="L62" s="6" t="s">
        <v>281</v>
      </c>
      <c r="M62" s="6" t="s">
        <v>269</v>
      </c>
      <c r="N62" s="6" t="s">
        <v>268</v>
      </c>
      <c r="O62" s="11" t="s">
        <v>748</v>
      </c>
      <c r="P62" s="11" t="s">
        <v>283</v>
      </c>
      <c r="Q62" s="6" t="s">
        <v>37</v>
      </c>
      <c r="R62" s="12">
        <v>46190</v>
      </c>
      <c r="S62" s="6" t="s">
        <v>38</v>
      </c>
      <c r="T62" s="11" t="s">
        <v>749</v>
      </c>
      <c r="U62" s="6"/>
      <c r="V62" s="11"/>
    </row>
    <row r="63" spans="1:22" ht="27.75" customHeight="1" x14ac:dyDescent="0.2">
      <c r="A63" s="6">
        <v>62</v>
      </c>
      <c r="B63" s="6" t="s">
        <v>750</v>
      </c>
      <c r="C63" s="6" t="s">
        <v>200</v>
      </c>
      <c r="D63" s="6" t="s">
        <v>751</v>
      </c>
      <c r="E63" s="6" t="s">
        <v>87</v>
      </c>
      <c r="F63" s="11" t="s">
        <v>752</v>
      </c>
      <c r="G63" s="6" t="s">
        <v>753</v>
      </c>
      <c r="H63" s="6" t="s">
        <v>754</v>
      </c>
      <c r="I63" s="6" t="s">
        <v>755</v>
      </c>
      <c r="J63" s="6" t="s">
        <v>756</v>
      </c>
      <c r="K63" s="6" t="s">
        <v>757</v>
      </c>
      <c r="L63" s="6" t="s">
        <v>758</v>
      </c>
      <c r="M63" s="6" t="s">
        <v>759</v>
      </c>
      <c r="N63" s="6" t="s">
        <v>760</v>
      </c>
      <c r="O63" s="11" t="s">
        <v>761</v>
      </c>
      <c r="P63" s="11" t="s">
        <v>762</v>
      </c>
      <c r="Q63" s="6" t="s">
        <v>37</v>
      </c>
      <c r="R63" s="12">
        <v>46190</v>
      </c>
      <c r="S63" s="6" t="s">
        <v>38</v>
      </c>
      <c r="T63" s="11" t="s">
        <v>763</v>
      </c>
      <c r="U63" s="6" t="s">
        <v>527</v>
      </c>
      <c r="V63" s="11"/>
    </row>
    <row r="64" spans="1:22" ht="27.75" customHeight="1" x14ac:dyDescent="0.2">
      <c r="A64" s="6">
        <v>63</v>
      </c>
      <c r="B64" s="6" t="s">
        <v>764</v>
      </c>
      <c r="C64" s="6" t="s">
        <v>200</v>
      </c>
      <c r="D64" s="6" t="s">
        <v>765</v>
      </c>
      <c r="E64" s="6" t="s">
        <v>612</v>
      </c>
      <c r="F64" s="11" t="s">
        <v>766</v>
      </c>
      <c r="G64" s="6" t="s">
        <v>767</v>
      </c>
      <c r="H64" s="6" t="s">
        <v>768</v>
      </c>
      <c r="I64" s="6" t="s">
        <v>769</v>
      </c>
      <c r="J64" s="6" t="s">
        <v>770</v>
      </c>
      <c r="K64" s="6" t="s">
        <v>771</v>
      </c>
      <c r="L64" s="6" t="s">
        <v>772</v>
      </c>
      <c r="M64" s="6" t="s">
        <v>773</v>
      </c>
      <c r="N64" s="6" t="s">
        <v>774</v>
      </c>
      <c r="O64" s="11" t="s">
        <v>775</v>
      </c>
      <c r="P64" s="11" t="s">
        <v>776</v>
      </c>
      <c r="Q64" s="6" t="s">
        <v>37</v>
      </c>
      <c r="R64" s="12">
        <v>46190</v>
      </c>
      <c r="S64" s="6" t="s">
        <v>38</v>
      </c>
      <c r="T64" s="11" t="s">
        <v>777</v>
      </c>
      <c r="U64" s="6" t="s">
        <v>527</v>
      </c>
      <c r="V64" s="11"/>
    </row>
    <row r="65" spans="1:22" ht="27.75" customHeight="1" x14ac:dyDescent="0.2">
      <c r="A65" s="6">
        <v>64</v>
      </c>
      <c r="B65" s="6" t="s">
        <v>778</v>
      </c>
      <c r="C65" s="6" t="s">
        <v>200</v>
      </c>
      <c r="D65" s="6" t="s">
        <v>779</v>
      </c>
      <c r="E65" s="6" t="s">
        <v>174</v>
      </c>
      <c r="F65" s="11" t="s">
        <v>780</v>
      </c>
      <c r="G65" s="6" t="s">
        <v>74</v>
      </c>
      <c r="H65" s="6" t="s">
        <v>75</v>
      </c>
      <c r="I65" s="6" t="s">
        <v>781</v>
      </c>
      <c r="J65" s="6" t="s">
        <v>782</v>
      </c>
      <c r="K65" s="6" t="s">
        <v>783</v>
      </c>
      <c r="L65" s="6" t="s">
        <v>784</v>
      </c>
      <c r="M65" s="6" t="s">
        <v>785</v>
      </c>
      <c r="N65" s="6" t="s">
        <v>786</v>
      </c>
      <c r="O65" s="11" t="s">
        <v>787</v>
      </c>
      <c r="P65" s="11" t="s">
        <v>788</v>
      </c>
      <c r="Q65" s="6" t="s">
        <v>37</v>
      </c>
      <c r="R65" s="12">
        <v>46190</v>
      </c>
      <c r="S65" s="6" t="s">
        <v>38</v>
      </c>
      <c r="T65" s="11" t="s">
        <v>789</v>
      </c>
      <c r="U65" s="6" t="s">
        <v>527</v>
      </c>
      <c r="V65" s="11"/>
    </row>
    <row r="66" spans="1:22" ht="27.75" customHeight="1" x14ac:dyDescent="0.2">
      <c r="A66" s="6">
        <v>65</v>
      </c>
      <c r="B66" s="6" t="s">
        <v>790</v>
      </c>
      <c r="C66" s="6" t="s">
        <v>200</v>
      </c>
      <c r="D66" s="6" t="s">
        <v>791</v>
      </c>
      <c r="E66" s="6" t="s">
        <v>147</v>
      </c>
      <c r="F66" s="11" t="s">
        <v>792</v>
      </c>
      <c r="G66" s="6" t="s">
        <v>134</v>
      </c>
      <c r="H66" s="6" t="s">
        <v>135</v>
      </c>
      <c r="I66" s="6" t="s">
        <v>793</v>
      </c>
      <c r="J66" s="6" t="s">
        <v>794</v>
      </c>
      <c r="K66" s="6" t="s">
        <v>795</v>
      </c>
      <c r="L66" s="6" t="s">
        <v>796</v>
      </c>
      <c r="M66" s="6" t="s">
        <v>797</v>
      </c>
      <c r="N66" s="6" t="s">
        <v>798</v>
      </c>
      <c r="O66" s="11" t="s">
        <v>799</v>
      </c>
      <c r="P66" s="11" t="s">
        <v>800</v>
      </c>
      <c r="Q66" s="6" t="s">
        <v>37</v>
      </c>
      <c r="R66" s="12">
        <v>46190</v>
      </c>
      <c r="S66" s="6" t="s">
        <v>38</v>
      </c>
      <c r="T66" s="11" t="s">
        <v>801</v>
      </c>
      <c r="U66" s="6"/>
      <c r="V66" s="11"/>
    </row>
    <row r="67" spans="1:22" ht="27.75" customHeight="1" x14ac:dyDescent="0.2">
      <c r="A67" s="6">
        <v>66</v>
      </c>
      <c r="B67" s="6" t="s">
        <v>802</v>
      </c>
      <c r="C67" s="6" t="s">
        <v>200</v>
      </c>
      <c r="D67" s="6" t="s">
        <v>803</v>
      </c>
      <c r="E67" s="6" t="s">
        <v>174</v>
      </c>
      <c r="F67" s="11" t="s">
        <v>804</v>
      </c>
      <c r="G67" s="6" t="s">
        <v>805</v>
      </c>
      <c r="H67" s="6" t="s">
        <v>806</v>
      </c>
      <c r="I67" s="6" t="s">
        <v>807</v>
      </c>
      <c r="J67" s="6" t="s">
        <v>808</v>
      </c>
      <c r="K67" s="6" t="s">
        <v>809</v>
      </c>
      <c r="L67" s="6" t="s">
        <v>810</v>
      </c>
      <c r="M67" s="6" t="s">
        <v>811</v>
      </c>
      <c r="N67" s="6" t="s">
        <v>812</v>
      </c>
      <c r="O67" s="11" t="s">
        <v>813</v>
      </c>
      <c r="P67" s="11" t="s">
        <v>247</v>
      </c>
      <c r="Q67" s="6" t="s">
        <v>37</v>
      </c>
      <c r="R67" s="12">
        <v>46190</v>
      </c>
      <c r="S67" s="6" t="s">
        <v>38</v>
      </c>
      <c r="T67" s="11" t="s">
        <v>814</v>
      </c>
      <c r="U67" s="6"/>
      <c r="V67" s="11"/>
    </row>
    <row r="68" spans="1:22" ht="27.75" customHeight="1" x14ac:dyDescent="0.2">
      <c r="A68" s="6">
        <v>67</v>
      </c>
      <c r="B68" s="6" t="s">
        <v>815</v>
      </c>
      <c r="C68" s="6" t="s">
        <v>200</v>
      </c>
      <c r="D68" s="6" t="s">
        <v>816</v>
      </c>
      <c r="E68" s="6" t="s">
        <v>561</v>
      </c>
      <c r="F68" s="11" t="s">
        <v>817</v>
      </c>
      <c r="G68" s="6" t="s">
        <v>74</v>
      </c>
      <c r="H68" s="6" t="s">
        <v>75</v>
      </c>
      <c r="I68" s="6" t="s">
        <v>818</v>
      </c>
      <c r="J68" s="6" t="s">
        <v>819</v>
      </c>
      <c r="K68" s="6" t="s">
        <v>820</v>
      </c>
      <c r="L68" s="6" t="s">
        <v>821</v>
      </c>
      <c r="M68" s="6" t="s">
        <v>822</v>
      </c>
      <c r="N68" s="6" t="s">
        <v>823</v>
      </c>
      <c r="O68" s="11" t="s">
        <v>824</v>
      </c>
      <c r="P68" s="11" t="s">
        <v>69</v>
      </c>
      <c r="Q68" s="6" t="s">
        <v>37</v>
      </c>
      <c r="R68" s="12">
        <v>46190</v>
      </c>
      <c r="S68" s="6" t="s">
        <v>38</v>
      </c>
      <c r="T68" s="11" t="s">
        <v>825</v>
      </c>
      <c r="U68" s="6"/>
      <c r="V68" s="11"/>
    </row>
    <row r="69" spans="1:22" ht="27.75" customHeight="1" x14ac:dyDescent="0.2">
      <c r="A69" s="6">
        <v>68</v>
      </c>
      <c r="B69" s="6" t="s">
        <v>826</v>
      </c>
      <c r="C69" s="6" t="s">
        <v>200</v>
      </c>
      <c r="D69" s="6" t="s">
        <v>827</v>
      </c>
      <c r="E69" s="6" t="s">
        <v>660</v>
      </c>
      <c r="F69" s="11" t="s">
        <v>828</v>
      </c>
      <c r="G69" s="6" t="s">
        <v>671</v>
      </c>
      <c r="H69" s="6" t="s">
        <v>672</v>
      </c>
      <c r="I69" s="6" t="s">
        <v>829</v>
      </c>
      <c r="J69" s="6" t="s">
        <v>830</v>
      </c>
      <c r="K69" s="6" t="s">
        <v>831</v>
      </c>
      <c r="L69" s="6" t="s">
        <v>832</v>
      </c>
      <c r="M69" s="6" t="s">
        <v>833</v>
      </c>
      <c r="N69" s="6" t="s">
        <v>834</v>
      </c>
      <c r="O69" s="11" t="s">
        <v>97</v>
      </c>
      <c r="P69" s="11" t="s">
        <v>69</v>
      </c>
      <c r="Q69" s="6" t="s">
        <v>37</v>
      </c>
      <c r="R69" s="12">
        <v>46190</v>
      </c>
      <c r="S69" s="6" t="s">
        <v>38</v>
      </c>
      <c r="T69" s="11" t="s">
        <v>835</v>
      </c>
      <c r="U69" s="6" t="s">
        <v>527</v>
      </c>
      <c r="V69" s="11"/>
    </row>
    <row r="70" spans="1:22" ht="27.75" customHeight="1" x14ac:dyDescent="0.2">
      <c r="A70" s="6">
        <v>69</v>
      </c>
      <c r="B70" s="6" t="s">
        <v>836</v>
      </c>
      <c r="C70" s="6" t="s">
        <v>200</v>
      </c>
      <c r="D70" s="6" t="s">
        <v>837</v>
      </c>
      <c r="E70" s="6" t="s">
        <v>43</v>
      </c>
      <c r="F70" s="11" t="s">
        <v>838</v>
      </c>
      <c r="G70" s="6" t="s">
        <v>228</v>
      </c>
      <c r="H70" s="6" t="s">
        <v>229</v>
      </c>
      <c r="I70" s="6" t="s">
        <v>839</v>
      </c>
      <c r="J70" s="6" t="s">
        <v>840</v>
      </c>
      <c r="K70" s="6" t="s">
        <v>841</v>
      </c>
      <c r="L70" s="6" t="s">
        <v>842</v>
      </c>
      <c r="M70" s="6" t="s">
        <v>843</v>
      </c>
      <c r="N70" s="6" t="s">
        <v>844</v>
      </c>
      <c r="O70" s="11" t="s">
        <v>845</v>
      </c>
      <c r="P70" s="11" t="s">
        <v>846</v>
      </c>
      <c r="Q70" s="6" t="s">
        <v>37</v>
      </c>
      <c r="R70" s="12">
        <v>46190</v>
      </c>
      <c r="S70" s="6" t="s">
        <v>38</v>
      </c>
      <c r="T70" s="11" t="s">
        <v>847</v>
      </c>
      <c r="U70" s="6" t="s">
        <v>527</v>
      </c>
      <c r="V70" s="11"/>
    </row>
    <row r="71" spans="1:22" ht="27.75" customHeight="1" x14ac:dyDescent="0.2">
      <c r="A71" s="6">
        <v>70</v>
      </c>
      <c r="B71" s="6" t="s">
        <v>848</v>
      </c>
      <c r="C71" s="6" t="s">
        <v>200</v>
      </c>
      <c r="D71" s="6" t="s">
        <v>849</v>
      </c>
      <c r="E71" s="6" t="s">
        <v>58</v>
      </c>
      <c r="F71" s="11" t="s">
        <v>850</v>
      </c>
      <c r="G71" s="6" t="s">
        <v>851</v>
      </c>
      <c r="H71" s="6" t="s">
        <v>852</v>
      </c>
      <c r="I71" s="6" t="s">
        <v>853</v>
      </c>
      <c r="J71" s="6" t="s">
        <v>854</v>
      </c>
      <c r="K71" s="6" t="s">
        <v>485</v>
      </c>
      <c r="L71" s="6" t="s">
        <v>855</v>
      </c>
      <c r="M71" s="6" t="s">
        <v>437</v>
      </c>
      <c r="N71" s="6" t="s">
        <v>245</v>
      </c>
      <c r="O71" s="11" t="s">
        <v>856</v>
      </c>
      <c r="P71" s="11" t="s">
        <v>69</v>
      </c>
      <c r="Q71" s="6" t="s">
        <v>37</v>
      </c>
      <c r="R71" s="12">
        <v>46190</v>
      </c>
      <c r="S71" s="6" t="s">
        <v>38</v>
      </c>
      <c r="T71" s="11" t="s">
        <v>857</v>
      </c>
      <c r="U71" s="6" t="s">
        <v>527</v>
      </c>
      <c r="V71" s="11"/>
    </row>
    <row r="72" spans="1:22" ht="23.25" customHeight="1" x14ac:dyDescent="0.2">
      <c r="A72" s="6">
        <v>71</v>
      </c>
      <c r="B72" s="6" t="s">
        <v>858</v>
      </c>
      <c r="C72" s="6" t="s">
        <v>200</v>
      </c>
      <c r="D72" s="6" t="s">
        <v>859</v>
      </c>
      <c r="E72" s="6" t="s">
        <v>25</v>
      </c>
      <c r="F72" s="11" t="s">
        <v>860</v>
      </c>
      <c r="G72" s="6" t="s">
        <v>27</v>
      </c>
      <c r="H72" s="6" t="s">
        <v>28</v>
      </c>
      <c r="I72" s="6" t="s">
        <v>861</v>
      </c>
      <c r="J72" s="6" t="s">
        <v>313</v>
      </c>
      <c r="K72" s="6" t="s">
        <v>314</v>
      </c>
      <c r="L72" s="6" t="s">
        <v>311</v>
      </c>
      <c r="M72" s="6" t="s">
        <v>315</v>
      </c>
      <c r="N72" s="6" t="s">
        <v>862</v>
      </c>
      <c r="O72" s="11" t="s">
        <v>748</v>
      </c>
      <c r="P72" s="11" t="s">
        <v>283</v>
      </c>
      <c r="Q72" s="6" t="s">
        <v>37</v>
      </c>
      <c r="R72" s="12">
        <v>46190</v>
      </c>
      <c r="S72" s="6" t="s">
        <v>38</v>
      </c>
      <c r="T72" s="11" t="s">
        <v>863</v>
      </c>
      <c r="U72" s="6" t="s">
        <v>40</v>
      </c>
      <c r="V72" s="11"/>
    </row>
    <row r="73" spans="1:22" ht="45.75" customHeight="1" x14ac:dyDescent="0.2">
      <c r="A73" s="6">
        <v>72</v>
      </c>
      <c r="B73" s="6" t="s">
        <v>864</v>
      </c>
      <c r="C73" s="6" t="s">
        <v>200</v>
      </c>
      <c r="D73" s="6" t="s">
        <v>865</v>
      </c>
      <c r="E73" s="6" t="s">
        <v>87</v>
      </c>
      <c r="F73" s="11" t="s">
        <v>866</v>
      </c>
      <c r="G73" s="6" t="s">
        <v>89</v>
      </c>
      <c r="H73" s="6" t="s">
        <v>90</v>
      </c>
      <c r="I73" s="6" t="s">
        <v>867</v>
      </c>
      <c r="J73" s="6" t="s">
        <v>868</v>
      </c>
      <c r="K73" s="6" t="s">
        <v>869</v>
      </c>
      <c r="L73" s="6" t="s">
        <v>870</v>
      </c>
      <c r="M73" s="6" t="s">
        <v>871</v>
      </c>
      <c r="N73" s="6" t="s">
        <v>872</v>
      </c>
      <c r="O73" s="11" t="s">
        <v>873</v>
      </c>
      <c r="P73" s="11" t="s">
        <v>69</v>
      </c>
      <c r="Q73" s="6" t="s">
        <v>37</v>
      </c>
      <c r="R73" s="12">
        <v>46190</v>
      </c>
      <c r="S73" s="6" t="s">
        <v>38</v>
      </c>
      <c r="T73" s="11" t="s">
        <v>874</v>
      </c>
      <c r="U73" s="6" t="s">
        <v>40</v>
      </c>
      <c r="V73" s="11"/>
    </row>
    <row r="74" spans="1:22" ht="23.25" customHeight="1" x14ac:dyDescent="0.2">
      <c r="A74" s="6">
        <v>73</v>
      </c>
      <c r="B74" s="6" t="s">
        <v>875</v>
      </c>
      <c r="C74" s="6" t="s">
        <v>200</v>
      </c>
      <c r="D74" s="6" t="s">
        <v>876</v>
      </c>
      <c r="E74" s="6" t="s">
        <v>877</v>
      </c>
      <c r="F74" s="11" t="s">
        <v>878</v>
      </c>
      <c r="G74" s="6" t="s">
        <v>879</v>
      </c>
      <c r="H74" s="6" t="s">
        <v>880</v>
      </c>
      <c r="I74" s="6" t="s">
        <v>881</v>
      </c>
      <c r="J74" s="6" t="s">
        <v>882</v>
      </c>
      <c r="K74" s="6" t="s">
        <v>883</v>
      </c>
      <c r="L74" s="6" t="s">
        <v>884</v>
      </c>
      <c r="M74" s="6" t="s">
        <v>885</v>
      </c>
      <c r="N74" s="6" t="s">
        <v>886</v>
      </c>
      <c r="O74" s="11" t="s">
        <v>887</v>
      </c>
      <c r="P74" s="11" t="s">
        <v>888</v>
      </c>
      <c r="Q74" s="6" t="s">
        <v>37</v>
      </c>
      <c r="R74" s="12">
        <v>46190</v>
      </c>
      <c r="S74" s="6" t="s">
        <v>38</v>
      </c>
      <c r="T74" s="11" t="s">
        <v>889</v>
      </c>
      <c r="U74" s="6" t="s">
        <v>40</v>
      </c>
      <c r="V74" s="11"/>
    </row>
    <row r="75" spans="1:22" ht="23.25" customHeight="1" x14ac:dyDescent="0.2">
      <c r="A75" s="6">
        <v>74</v>
      </c>
      <c r="B75" s="6" t="s">
        <v>890</v>
      </c>
      <c r="C75" s="6" t="s">
        <v>200</v>
      </c>
      <c r="D75" s="6" t="s">
        <v>891</v>
      </c>
      <c r="E75" s="6" t="s">
        <v>892</v>
      </c>
      <c r="F75" s="11" t="s">
        <v>893</v>
      </c>
      <c r="G75" s="6" t="s">
        <v>89</v>
      </c>
      <c r="H75" s="6" t="s">
        <v>90</v>
      </c>
      <c r="I75" s="6" t="s">
        <v>894</v>
      </c>
      <c r="J75" s="6" t="s">
        <v>895</v>
      </c>
      <c r="K75" s="6" t="s">
        <v>896</v>
      </c>
      <c r="L75" s="6" t="s">
        <v>897</v>
      </c>
      <c r="M75" s="6" t="s">
        <v>898</v>
      </c>
      <c r="N75" s="6" t="s">
        <v>899</v>
      </c>
      <c r="O75" s="11" t="s">
        <v>900</v>
      </c>
      <c r="P75" s="11" t="s">
        <v>69</v>
      </c>
      <c r="Q75" s="6" t="s">
        <v>37</v>
      </c>
      <c r="R75" s="12">
        <v>46190</v>
      </c>
      <c r="S75" s="6" t="s">
        <v>38</v>
      </c>
      <c r="T75" s="11" t="s">
        <v>901</v>
      </c>
      <c r="U75" s="6" t="s">
        <v>527</v>
      </c>
      <c r="V75" s="11"/>
    </row>
    <row r="76" spans="1:22" ht="23.25" customHeight="1" x14ac:dyDescent="0.2">
      <c r="A76" s="6">
        <v>75</v>
      </c>
      <c r="B76" s="6" t="s">
        <v>902</v>
      </c>
      <c r="C76" s="6" t="s">
        <v>200</v>
      </c>
      <c r="D76" s="6" t="s">
        <v>903</v>
      </c>
      <c r="E76" s="6" t="s">
        <v>561</v>
      </c>
      <c r="F76" s="11" t="s">
        <v>904</v>
      </c>
      <c r="G76" s="6" t="s">
        <v>905</v>
      </c>
      <c r="H76" s="6" t="s">
        <v>906</v>
      </c>
      <c r="I76" s="6" t="s">
        <v>907</v>
      </c>
      <c r="J76" s="6" t="s">
        <v>908</v>
      </c>
      <c r="K76" s="6" t="s">
        <v>909</v>
      </c>
      <c r="L76" s="6" t="s">
        <v>910</v>
      </c>
      <c r="M76" s="6" t="s">
        <v>911</v>
      </c>
      <c r="N76" s="6" t="s">
        <v>912</v>
      </c>
      <c r="O76" s="11" t="s">
        <v>913</v>
      </c>
      <c r="P76" s="11" t="s">
        <v>69</v>
      </c>
      <c r="Q76" s="6" t="s">
        <v>37</v>
      </c>
      <c r="R76" s="12">
        <v>46190</v>
      </c>
      <c r="S76" s="6" t="s">
        <v>38</v>
      </c>
      <c r="T76" s="11" t="s">
        <v>914</v>
      </c>
      <c r="U76" s="6" t="s">
        <v>527</v>
      </c>
      <c r="V76" s="11"/>
    </row>
    <row r="77" spans="1:22" ht="34.5" customHeight="1" x14ac:dyDescent="0.2">
      <c r="A77" s="6">
        <v>76</v>
      </c>
      <c r="B77" s="6" t="s">
        <v>915</v>
      </c>
      <c r="C77" s="6" t="s">
        <v>200</v>
      </c>
      <c r="D77" s="6" t="s">
        <v>916</v>
      </c>
      <c r="E77" s="6" t="s">
        <v>147</v>
      </c>
      <c r="F77" s="11" t="s">
        <v>917</v>
      </c>
      <c r="G77" s="6" t="s">
        <v>671</v>
      </c>
      <c r="H77" s="6" t="s">
        <v>672</v>
      </c>
      <c r="I77" s="6" t="s">
        <v>918</v>
      </c>
      <c r="J77" s="6" t="s">
        <v>919</v>
      </c>
      <c r="K77" s="6" t="s">
        <v>920</v>
      </c>
      <c r="L77" s="6" t="s">
        <v>921</v>
      </c>
      <c r="M77" s="6" t="s">
        <v>922</v>
      </c>
      <c r="N77" s="6" t="s">
        <v>923</v>
      </c>
      <c r="O77" s="11" t="s">
        <v>97</v>
      </c>
      <c r="P77" s="11" t="s">
        <v>69</v>
      </c>
      <c r="Q77" s="6" t="s">
        <v>37</v>
      </c>
      <c r="R77" s="12">
        <v>46190</v>
      </c>
      <c r="S77" s="6" t="s">
        <v>38</v>
      </c>
      <c r="T77" s="11" t="s">
        <v>924</v>
      </c>
      <c r="U77" s="6" t="s">
        <v>40</v>
      </c>
      <c r="V77" s="11"/>
    </row>
    <row r="78" spans="1:22" ht="23.25" customHeight="1" x14ac:dyDescent="0.2">
      <c r="A78" s="6">
        <v>77</v>
      </c>
      <c r="B78" s="6" t="s">
        <v>925</v>
      </c>
      <c r="C78" s="6" t="s">
        <v>200</v>
      </c>
      <c r="D78" s="6" t="s">
        <v>926</v>
      </c>
      <c r="E78" s="6" t="s">
        <v>174</v>
      </c>
      <c r="F78" s="11" t="s">
        <v>927</v>
      </c>
      <c r="G78" s="6" t="s">
        <v>928</v>
      </c>
      <c r="H78" s="6" t="s">
        <v>929</v>
      </c>
      <c r="I78" s="6" t="s">
        <v>930</v>
      </c>
      <c r="J78" s="6" t="s">
        <v>931</v>
      </c>
      <c r="K78" s="6" t="s">
        <v>932</v>
      </c>
      <c r="L78" s="6" t="s">
        <v>933</v>
      </c>
      <c r="M78" s="6" t="s">
        <v>435</v>
      </c>
      <c r="N78" s="6" t="s">
        <v>437</v>
      </c>
      <c r="O78" s="11" t="s">
        <v>934</v>
      </c>
      <c r="P78" s="11" t="s">
        <v>935</v>
      </c>
      <c r="Q78" s="6" t="s">
        <v>37</v>
      </c>
      <c r="R78" s="12">
        <v>46190</v>
      </c>
      <c r="S78" s="6" t="s">
        <v>38</v>
      </c>
      <c r="T78" s="11" t="s">
        <v>936</v>
      </c>
      <c r="U78" s="6" t="s">
        <v>40</v>
      </c>
      <c r="V78" s="11"/>
    </row>
    <row r="79" spans="1:22" ht="23.25" customHeight="1" x14ac:dyDescent="0.2">
      <c r="A79" s="6">
        <v>78</v>
      </c>
      <c r="B79" s="6" t="s">
        <v>937</v>
      </c>
      <c r="C79" s="6" t="s">
        <v>200</v>
      </c>
      <c r="D79" s="6" t="s">
        <v>938</v>
      </c>
      <c r="E79" s="6" t="s">
        <v>561</v>
      </c>
      <c r="F79" s="11" t="s">
        <v>939</v>
      </c>
      <c r="G79" s="6" t="s">
        <v>74</v>
      </c>
      <c r="H79" s="6" t="s">
        <v>75</v>
      </c>
      <c r="I79" s="6" t="s">
        <v>940</v>
      </c>
      <c r="J79" s="6" t="s">
        <v>941</v>
      </c>
      <c r="K79" s="6" t="s">
        <v>942</v>
      </c>
      <c r="L79" s="6" t="s">
        <v>910</v>
      </c>
      <c r="M79" s="6" t="s">
        <v>943</v>
      </c>
      <c r="N79" s="6" t="s">
        <v>908</v>
      </c>
      <c r="O79" s="11" t="s">
        <v>944</v>
      </c>
      <c r="P79" s="11" t="s">
        <v>69</v>
      </c>
      <c r="Q79" s="6" t="s">
        <v>37</v>
      </c>
      <c r="R79" s="12">
        <v>46190</v>
      </c>
      <c r="S79" s="6" t="s">
        <v>38</v>
      </c>
      <c r="T79" s="11" t="s">
        <v>945</v>
      </c>
      <c r="U79" s="6" t="s">
        <v>40</v>
      </c>
      <c r="V79" s="11"/>
    </row>
    <row r="80" spans="1:22" ht="34.5" customHeight="1" x14ac:dyDescent="0.2">
      <c r="A80" s="6">
        <v>79</v>
      </c>
      <c r="B80" s="6" t="s">
        <v>946</v>
      </c>
      <c r="C80" s="6" t="s">
        <v>200</v>
      </c>
      <c r="D80" s="6" t="s">
        <v>947</v>
      </c>
      <c r="E80" s="6" t="s">
        <v>117</v>
      </c>
      <c r="F80" s="11" t="s">
        <v>948</v>
      </c>
      <c r="G80" s="6" t="s">
        <v>89</v>
      </c>
      <c r="H80" s="6" t="s">
        <v>90</v>
      </c>
      <c r="I80" s="6" t="s">
        <v>949</v>
      </c>
      <c r="J80" s="6" t="s">
        <v>950</v>
      </c>
      <c r="K80" s="6" t="s">
        <v>951</v>
      </c>
      <c r="L80" s="6" t="s">
        <v>952</v>
      </c>
      <c r="M80" s="6" t="s">
        <v>447</v>
      </c>
      <c r="N80" s="6" t="s">
        <v>953</v>
      </c>
      <c r="O80" s="11" t="s">
        <v>954</v>
      </c>
      <c r="P80" s="11" t="s">
        <v>69</v>
      </c>
      <c r="Q80" s="6" t="s">
        <v>37</v>
      </c>
      <c r="R80" s="12">
        <v>46190</v>
      </c>
      <c r="S80" s="6" t="s">
        <v>38</v>
      </c>
      <c r="T80" s="11" t="s">
        <v>955</v>
      </c>
      <c r="U80" s="6" t="s">
        <v>40</v>
      </c>
      <c r="V80" s="11"/>
    </row>
    <row r="81" spans="1:22" ht="23.25" customHeight="1" x14ac:dyDescent="0.2">
      <c r="A81" s="6">
        <v>80</v>
      </c>
      <c r="B81" s="6" t="s">
        <v>956</v>
      </c>
      <c r="C81" s="6" t="s">
        <v>200</v>
      </c>
      <c r="D81" s="6" t="s">
        <v>957</v>
      </c>
      <c r="E81" s="6" t="s">
        <v>174</v>
      </c>
      <c r="F81" s="11" t="s">
        <v>958</v>
      </c>
      <c r="G81" s="6" t="s">
        <v>959</v>
      </c>
      <c r="H81" s="6" t="s">
        <v>960</v>
      </c>
      <c r="I81" s="6" t="s">
        <v>961</v>
      </c>
      <c r="J81" s="6" t="s">
        <v>962</v>
      </c>
      <c r="K81" s="6" t="s">
        <v>963</v>
      </c>
      <c r="L81" s="6" t="s">
        <v>697</v>
      </c>
      <c r="M81" s="6" t="s">
        <v>964</v>
      </c>
      <c r="N81" s="6" t="s">
        <v>965</v>
      </c>
      <c r="O81" s="11" t="s">
        <v>966</v>
      </c>
      <c r="P81" s="11" t="s">
        <v>702</v>
      </c>
      <c r="Q81" s="6" t="s">
        <v>37</v>
      </c>
      <c r="R81" s="12">
        <v>46190</v>
      </c>
      <c r="S81" s="6" t="s">
        <v>38</v>
      </c>
      <c r="T81" s="11" t="s">
        <v>967</v>
      </c>
      <c r="U81" s="6" t="s">
        <v>527</v>
      </c>
      <c r="V81" s="11"/>
    </row>
    <row r="82" spans="1:22" ht="23.25" customHeight="1" x14ac:dyDescent="0.2">
      <c r="A82" s="6">
        <v>81</v>
      </c>
      <c r="B82" s="6" t="s">
        <v>968</v>
      </c>
      <c r="C82" s="6" t="s">
        <v>200</v>
      </c>
      <c r="D82" s="6" t="s">
        <v>969</v>
      </c>
      <c r="E82" s="6" t="s">
        <v>147</v>
      </c>
      <c r="F82" s="11" t="s">
        <v>970</v>
      </c>
      <c r="G82" s="6" t="s">
        <v>971</v>
      </c>
      <c r="H82" s="6" t="s">
        <v>972</v>
      </c>
      <c r="I82" s="6" t="s">
        <v>973</v>
      </c>
      <c r="J82" s="6" t="s">
        <v>974</v>
      </c>
      <c r="K82" s="6" t="s">
        <v>975</v>
      </c>
      <c r="L82" s="6" t="s">
        <v>976</v>
      </c>
      <c r="M82" s="6" t="s">
        <v>977</v>
      </c>
      <c r="N82" s="6" t="s">
        <v>978</v>
      </c>
      <c r="O82" s="11" t="s">
        <v>979</v>
      </c>
      <c r="P82" s="11" t="s">
        <v>980</v>
      </c>
      <c r="Q82" s="6" t="s">
        <v>37</v>
      </c>
      <c r="R82" s="12">
        <v>46190</v>
      </c>
      <c r="S82" s="6" t="s">
        <v>38</v>
      </c>
      <c r="T82" s="11" t="s">
        <v>981</v>
      </c>
      <c r="U82" s="6" t="s">
        <v>527</v>
      </c>
      <c r="V82" s="11"/>
    </row>
    <row r="83" spans="1:22" ht="23.25" customHeight="1" x14ac:dyDescent="0.2">
      <c r="A83" s="6">
        <v>82</v>
      </c>
      <c r="B83" s="6" t="s">
        <v>982</v>
      </c>
      <c r="C83" s="6" t="s">
        <v>200</v>
      </c>
      <c r="D83" s="6" t="s">
        <v>983</v>
      </c>
      <c r="E83" s="6" t="s">
        <v>174</v>
      </c>
      <c r="F83" s="11" t="s">
        <v>984</v>
      </c>
      <c r="G83" s="6" t="s">
        <v>985</v>
      </c>
      <c r="H83" s="6" t="s">
        <v>986</v>
      </c>
      <c r="I83" s="7" t="s">
        <v>987</v>
      </c>
      <c r="J83" s="7" t="s">
        <v>988</v>
      </c>
      <c r="K83" s="7" t="s">
        <v>989</v>
      </c>
      <c r="L83" s="7" t="s">
        <v>697</v>
      </c>
      <c r="M83" s="7" t="s">
        <v>990</v>
      </c>
      <c r="N83" s="7" t="s">
        <v>991</v>
      </c>
      <c r="O83" s="11" t="s">
        <v>966</v>
      </c>
      <c r="P83" s="11" t="s">
        <v>702</v>
      </c>
      <c r="Q83" s="6" t="s">
        <v>37</v>
      </c>
      <c r="R83" s="12">
        <v>46245</v>
      </c>
      <c r="S83" s="6" t="s">
        <v>38</v>
      </c>
      <c r="T83" s="11" t="s">
        <v>992</v>
      </c>
      <c r="U83" s="6" t="s">
        <v>527</v>
      </c>
      <c r="V83" s="11"/>
    </row>
    <row r="84" spans="1:22" ht="57" customHeight="1" x14ac:dyDescent="0.2">
      <c r="A84" s="6">
        <v>83</v>
      </c>
      <c r="B84" s="6" t="s">
        <v>993</v>
      </c>
      <c r="C84" s="6" t="s">
        <v>200</v>
      </c>
      <c r="D84" s="6" t="s">
        <v>994</v>
      </c>
      <c r="E84" s="6" t="s">
        <v>87</v>
      </c>
      <c r="F84" s="11" t="s">
        <v>995</v>
      </c>
      <c r="G84" s="6" t="s">
        <v>753</v>
      </c>
      <c r="H84" s="6" t="s">
        <v>754</v>
      </c>
      <c r="I84" s="6" t="s">
        <v>996</v>
      </c>
      <c r="J84" s="6" t="s">
        <v>997</v>
      </c>
      <c r="K84" s="6" t="s">
        <v>998</v>
      </c>
      <c r="L84" s="6" t="s">
        <v>999</v>
      </c>
      <c r="M84" s="6" t="s">
        <v>1000</v>
      </c>
      <c r="N84" s="6" t="s">
        <v>1001</v>
      </c>
      <c r="O84" s="11" t="s">
        <v>97</v>
      </c>
      <c r="P84" s="11" t="s">
        <v>69</v>
      </c>
      <c r="Q84" s="6" t="s">
        <v>37</v>
      </c>
      <c r="R84" s="12">
        <v>46245</v>
      </c>
      <c r="S84" s="6" t="s">
        <v>38</v>
      </c>
      <c r="T84" s="11" t="s">
        <v>1002</v>
      </c>
      <c r="U84" s="6" t="s">
        <v>40</v>
      </c>
      <c r="V84" s="11"/>
    </row>
    <row r="85" spans="1:22" ht="23.25" customHeight="1" x14ac:dyDescent="0.2">
      <c r="A85" s="6">
        <v>84</v>
      </c>
      <c r="B85" s="6" t="s">
        <v>1003</v>
      </c>
      <c r="C85" s="6" t="s">
        <v>200</v>
      </c>
      <c r="D85" s="6" t="s">
        <v>1004</v>
      </c>
      <c r="E85" s="6" t="s">
        <v>174</v>
      </c>
      <c r="F85" s="11" t="s">
        <v>1005</v>
      </c>
      <c r="G85" s="6" t="s">
        <v>1006</v>
      </c>
      <c r="H85" s="6" t="s">
        <v>1007</v>
      </c>
      <c r="I85" s="6" t="s">
        <v>1008</v>
      </c>
      <c r="J85" s="6" t="s">
        <v>1009</v>
      </c>
      <c r="K85" s="6" t="s">
        <v>1010</v>
      </c>
      <c r="L85" s="6" t="s">
        <v>1011</v>
      </c>
      <c r="M85" s="6" t="s">
        <v>1012</v>
      </c>
      <c r="N85" s="6" t="s">
        <v>1013</v>
      </c>
      <c r="O85" s="11" t="s">
        <v>1014</v>
      </c>
      <c r="P85" s="11" t="s">
        <v>1015</v>
      </c>
      <c r="Q85" s="6" t="s">
        <v>37</v>
      </c>
      <c r="R85" s="12">
        <v>46245</v>
      </c>
      <c r="S85" s="6" t="s">
        <v>38</v>
      </c>
      <c r="T85" s="11" t="s">
        <v>1016</v>
      </c>
      <c r="U85" s="6" t="s">
        <v>40</v>
      </c>
      <c r="V85" s="11"/>
    </row>
    <row r="86" spans="1:22" ht="23.25" customHeight="1" x14ac:dyDescent="0.2">
      <c r="A86" s="6">
        <v>85</v>
      </c>
      <c r="B86" s="6" t="s">
        <v>1017</v>
      </c>
      <c r="C86" s="6" t="s">
        <v>200</v>
      </c>
      <c r="D86" s="6" t="s">
        <v>1018</v>
      </c>
      <c r="E86" s="6" t="s">
        <v>58</v>
      </c>
      <c r="F86" s="11" t="s">
        <v>1019</v>
      </c>
      <c r="G86" s="6" t="s">
        <v>1020</v>
      </c>
      <c r="H86" s="6" t="s">
        <v>1021</v>
      </c>
      <c r="I86" s="6" t="s">
        <v>1022</v>
      </c>
      <c r="J86" s="6" t="s">
        <v>1023</v>
      </c>
      <c r="K86" s="6" t="s">
        <v>1024</v>
      </c>
      <c r="L86" s="6" t="s">
        <v>1025</v>
      </c>
      <c r="M86" s="6" t="s">
        <v>1026</v>
      </c>
      <c r="N86" s="6" t="s">
        <v>1027</v>
      </c>
      <c r="O86" s="11" t="s">
        <v>1028</v>
      </c>
      <c r="P86" s="11" t="s">
        <v>1029</v>
      </c>
      <c r="Q86" s="6" t="s">
        <v>37</v>
      </c>
      <c r="R86" s="12">
        <v>46245</v>
      </c>
      <c r="S86" s="6" t="s">
        <v>38</v>
      </c>
      <c r="T86" s="11" t="s">
        <v>1030</v>
      </c>
      <c r="U86" s="6" t="s">
        <v>40</v>
      </c>
      <c r="V86" s="11"/>
    </row>
    <row r="87" spans="1:22" ht="23.25" customHeight="1" x14ac:dyDescent="0.2">
      <c r="A87" s="6">
        <v>86</v>
      </c>
      <c r="B87" s="6" t="s">
        <v>1031</v>
      </c>
      <c r="C87" s="6" t="s">
        <v>200</v>
      </c>
      <c r="D87" s="6" t="s">
        <v>1032</v>
      </c>
      <c r="E87" s="6" t="s">
        <v>87</v>
      </c>
      <c r="F87" s="11" t="s">
        <v>1033</v>
      </c>
      <c r="G87" s="6" t="s">
        <v>89</v>
      </c>
      <c r="H87" s="6" t="s">
        <v>90</v>
      </c>
      <c r="I87" s="6" t="s">
        <v>1034</v>
      </c>
      <c r="J87" s="6" t="s">
        <v>331</v>
      </c>
      <c r="K87" s="6" t="s">
        <v>1035</v>
      </c>
      <c r="L87" s="6" t="s">
        <v>1036</v>
      </c>
      <c r="M87" s="6" t="s">
        <v>1037</v>
      </c>
      <c r="N87" s="6" t="s">
        <v>1038</v>
      </c>
      <c r="O87" s="11" t="s">
        <v>954</v>
      </c>
      <c r="P87" s="11" t="s">
        <v>69</v>
      </c>
      <c r="Q87" s="6" t="s">
        <v>37</v>
      </c>
      <c r="R87" s="12">
        <v>46245</v>
      </c>
      <c r="S87" s="6" t="s">
        <v>38</v>
      </c>
      <c r="T87" s="11" t="s">
        <v>1039</v>
      </c>
      <c r="U87" s="6" t="s">
        <v>40</v>
      </c>
      <c r="V87" s="11"/>
    </row>
    <row r="88" spans="1:22" ht="34.5" customHeight="1" x14ac:dyDescent="0.2">
      <c r="A88" s="6">
        <v>87</v>
      </c>
      <c r="B88" s="6" t="s">
        <v>1040</v>
      </c>
      <c r="C88" s="6" t="s">
        <v>200</v>
      </c>
      <c r="D88" s="6" t="s">
        <v>1041</v>
      </c>
      <c r="E88" s="6" t="s">
        <v>174</v>
      </c>
      <c r="F88" s="11" t="s">
        <v>1042</v>
      </c>
      <c r="G88" s="6" t="s">
        <v>60</v>
      </c>
      <c r="H88" s="6" t="s">
        <v>61</v>
      </c>
      <c r="I88" s="6" t="s">
        <v>931</v>
      </c>
      <c r="J88" s="6" t="s">
        <v>1043</v>
      </c>
      <c r="K88" s="6" t="s">
        <v>1044</v>
      </c>
      <c r="L88" s="6" t="s">
        <v>1045</v>
      </c>
      <c r="M88" s="6" t="s">
        <v>1046</v>
      </c>
      <c r="N88" s="6" t="s">
        <v>1047</v>
      </c>
      <c r="O88" s="11" t="s">
        <v>1048</v>
      </c>
      <c r="P88" s="11" t="s">
        <v>935</v>
      </c>
      <c r="Q88" s="6" t="s">
        <v>37</v>
      </c>
      <c r="R88" s="12">
        <v>46245</v>
      </c>
      <c r="S88" s="6" t="s">
        <v>38</v>
      </c>
      <c r="T88" s="11" t="s">
        <v>1049</v>
      </c>
      <c r="U88" s="6" t="s">
        <v>40</v>
      </c>
      <c r="V88" s="11"/>
    </row>
    <row r="89" spans="1:22" ht="23.25" customHeight="1" x14ac:dyDescent="0.2">
      <c r="A89" s="6">
        <v>88</v>
      </c>
      <c r="B89" s="6" t="s">
        <v>1050</v>
      </c>
      <c r="C89" s="6" t="s">
        <v>200</v>
      </c>
      <c r="D89" s="6" t="s">
        <v>1051</v>
      </c>
      <c r="E89" s="6" t="s">
        <v>132</v>
      </c>
      <c r="F89" s="11" t="s">
        <v>1052</v>
      </c>
      <c r="G89" s="6" t="s">
        <v>74</v>
      </c>
      <c r="H89" s="6" t="s">
        <v>75</v>
      </c>
      <c r="I89" s="6" t="s">
        <v>1053</v>
      </c>
      <c r="J89" s="6" t="s">
        <v>1054</v>
      </c>
      <c r="K89" s="6" t="s">
        <v>1055</v>
      </c>
      <c r="L89" s="6" t="s">
        <v>1056</v>
      </c>
      <c r="M89" s="6" t="s">
        <v>1057</v>
      </c>
      <c r="N89" s="6" t="s">
        <v>1058</v>
      </c>
      <c r="O89" s="11" t="s">
        <v>1059</v>
      </c>
      <c r="P89" s="11" t="s">
        <v>143</v>
      </c>
      <c r="Q89" s="6" t="s">
        <v>37</v>
      </c>
      <c r="R89" s="12">
        <v>46245</v>
      </c>
      <c r="S89" s="6" t="s">
        <v>38</v>
      </c>
      <c r="T89" s="11" t="s">
        <v>1060</v>
      </c>
      <c r="U89" s="6" t="s">
        <v>40</v>
      </c>
      <c r="V89" s="11"/>
    </row>
    <row r="90" spans="1:22" ht="23.25" customHeight="1" x14ac:dyDescent="0.2">
      <c r="A90" s="6">
        <v>89</v>
      </c>
      <c r="B90" s="6" t="s">
        <v>1061</v>
      </c>
      <c r="C90" s="6" t="s">
        <v>200</v>
      </c>
      <c r="D90" s="6" t="s">
        <v>1062</v>
      </c>
      <c r="E90" s="6" t="s">
        <v>162</v>
      </c>
      <c r="F90" s="11" t="s">
        <v>1063</v>
      </c>
      <c r="G90" s="6" t="s">
        <v>74</v>
      </c>
      <c r="H90" s="6" t="s">
        <v>75</v>
      </c>
      <c r="I90" s="6" t="s">
        <v>1064</v>
      </c>
      <c r="J90" s="6" t="s">
        <v>1065</v>
      </c>
      <c r="K90" s="6" t="s">
        <v>1066</v>
      </c>
      <c r="L90" s="6" t="s">
        <v>1067</v>
      </c>
      <c r="M90" s="6" t="s">
        <v>1068</v>
      </c>
      <c r="N90" s="13" t="s">
        <v>1069</v>
      </c>
      <c r="O90" s="11" t="s">
        <v>1070</v>
      </c>
      <c r="P90" s="11" t="s">
        <v>69</v>
      </c>
      <c r="Q90" s="6" t="s">
        <v>37</v>
      </c>
      <c r="R90" s="12">
        <v>46245</v>
      </c>
      <c r="S90" s="6" t="s">
        <v>38</v>
      </c>
      <c r="T90" s="11" t="s">
        <v>1071</v>
      </c>
      <c r="U90" s="6" t="s">
        <v>40</v>
      </c>
      <c r="V90" s="11"/>
    </row>
    <row r="91" spans="1:22" ht="34.5" customHeight="1" x14ac:dyDescent="0.2">
      <c r="A91" s="6">
        <v>90</v>
      </c>
      <c r="B91" s="6" t="s">
        <v>1072</v>
      </c>
      <c r="C91" s="6" t="s">
        <v>200</v>
      </c>
      <c r="D91" s="6" t="s">
        <v>1073</v>
      </c>
      <c r="E91" s="6" t="s">
        <v>174</v>
      </c>
      <c r="F91" s="11" t="s">
        <v>1074</v>
      </c>
      <c r="G91" s="6" t="s">
        <v>134</v>
      </c>
      <c r="H91" s="6" t="s">
        <v>135</v>
      </c>
      <c r="I91" s="6" t="s">
        <v>1075</v>
      </c>
      <c r="J91" s="6" t="s">
        <v>1076</v>
      </c>
      <c r="K91" s="6" t="s">
        <v>1077</v>
      </c>
      <c r="L91" s="6" t="s">
        <v>1078</v>
      </c>
      <c r="M91" s="6" t="s">
        <v>1079</v>
      </c>
      <c r="N91" s="6" t="s">
        <v>1080</v>
      </c>
      <c r="O91" s="11" t="s">
        <v>1081</v>
      </c>
      <c r="P91" s="14" t="s">
        <v>1082</v>
      </c>
      <c r="Q91" s="6" t="s">
        <v>37</v>
      </c>
      <c r="R91" s="12">
        <v>46245</v>
      </c>
      <c r="S91" s="6" t="s">
        <v>38</v>
      </c>
      <c r="T91" s="11" t="s">
        <v>1083</v>
      </c>
      <c r="U91" s="6" t="s">
        <v>40</v>
      </c>
      <c r="V91" s="11"/>
    </row>
    <row r="92" spans="1:22" ht="23.25" customHeight="1" x14ac:dyDescent="0.2">
      <c r="A92" s="6">
        <v>91</v>
      </c>
      <c r="B92" s="6" t="s">
        <v>1084</v>
      </c>
      <c r="C92" s="6" t="s">
        <v>200</v>
      </c>
      <c r="D92" s="6" t="s">
        <v>1085</v>
      </c>
      <c r="E92" s="6" t="s">
        <v>58</v>
      </c>
      <c r="F92" s="11" t="s">
        <v>1086</v>
      </c>
      <c r="G92" s="6" t="s">
        <v>1087</v>
      </c>
      <c r="H92" s="6" t="s">
        <v>1088</v>
      </c>
      <c r="I92" s="6" t="s">
        <v>1089</v>
      </c>
      <c r="J92" s="6" t="s">
        <v>1090</v>
      </c>
      <c r="K92" s="6" t="s">
        <v>1091</v>
      </c>
      <c r="L92" s="6" t="s">
        <v>1092</v>
      </c>
      <c r="M92" s="6" t="s">
        <v>1093</v>
      </c>
      <c r="N92" s="6" t="s">
        <v>1094</v>
      </c>
      <c r="O92" s="11" t="s">
        <v>1095</v>
      </c>
      <c r="P92" s="11" t="s">
        <v>1096</v>
      </c>
      <c r="Q92" s="6" t="s">
        <v>37</v>
      </c>
      <c r="R92" s="12">
        <v>46245</v>
      </c>
      <c r="S92" s="6" t="s">
        <v>38</v>
      </c>
      <c r="T92" s="9" t="s">
        <v>1097</v>
      </c>
      <c r="U92" s="6" t="s">
        <v>40</v>
      </c>
      <c r="V92" s="11"/>
    </row>
    <row r="93" spans="1:22" ht="15" customHeight="1" x14ac:dyDescent="0.2">
      <c r="A93" s="6">
        <v>92</v>
      </c>
      <c r="B93" s="6" t="s">
        <v>1098</v>
      </c>
      <c r="C93" s="6" t="s">
        <v>200</v>
      </c>
      <c r="D93" s="6" t="s">
        <v>1099</v>
      </c>
      <c r="E93" s="6" t="s">
        <v>174</v>
      </c>
      <c r="F93" s="11" t="s">
        <v>1100</v>
      </c>
      <c r="G93" s="6" t="s">
        <v>60</v>
      </c>
      <c r="H93" s="6" t="s">
        <v>61</v>
      </c>
      <c r="I93" s="6" t="s">
        <v>931</v>
      </c>
      <c r="J93" s="6" t="s">
        <v>930</v>
      </c>
      <c r="K93" s="6" t="s">
        <v>1043</v>
      </c>
      <c r="L93" s="6" t="s">
        <v>1101</v>
      </c>
      <c r="M93" s="6" t="s">
        <v>933</v>
      </c>
      <c r="N93" s="6" t="s">
        <v>1102</v>
      </c>
      <c r="O93" s="11" t="s">
        <v>1103</v>
      </c>
      <c r="P93" s="11" t="s">
        <v>69</v>
      </c>
      <c r="Q93" s="6" t="s">
        <v>37</v>
      </c>
      <c r="R93" s="12">
        <v>46254</v>
      </c>
      <c r="S93" s="6" t="s">
        <v>38</v>
      </c>
      <c r="T93" s="11" t="s">
        <v>1104</v>
      </c>
      <c r="U93" s="6" t="s">
        <v>40</v>
      </c>
      <c r="V93" s="11"/>
    </row>
    <row r="94" spans="1:22" ht="34.5" customHeight="1" x14ac:dyDescent="0.2">
      <c r="A94" s="6">
        <v>93</v>
      </c>
      <c r="B94" s="6" t="s">
        <v>1105</v>
      </c>
      <c r="C94" s="6" t="s">
        <v>200</v>
      </c>
      <c r="D94" s="6" t="s">
        <v>1106</v>
      </c>
      <c r="E94" s="6" t="s">
        <v>87</v>
      </c>
      <c r="F94" s="11" t="s">
        <v>1107</v>
      </c>
      <c r="G94" s="6" t="s">
        <v>1108</v>
      </c>
      <c r="H94" s="6" t="s">
        <v>1109</v>
      </c>
      <c r="I94" s="6" t="s">
        <v>1110</v>
      </c>
      <c r="J94" s="6" t="s">
        <v>1111</v>
      </c>
      <c r="K94" s="6" t="s">
        <v>1112</v>
      </c>
      <c r="L94" s="6" t="s">
        <v>1113</v>
      </c>
      <c r="M94" s="6" t="s">
        <v>1114</v>
      </c>
      <c r="N94" s="6" t="s">
        <v>520</v>
      </c>
      <c r="O94" s="11" t="s">
        <v>954</v>
      </c>
      <c r="P94" s="11" t="s">
        <v>69</v>
      </c>
      <c r="Q94" s="6" t="s">
        <v>37</v>
      </c>
      <c r="R94" s="12">
        <v>46245</v>
      </c>
      <c r="S94" s="6" t="s">
        <v>38</v>
      </c>
      <c r="T94" s="11" t="s">
        <v>1115</v>
      </c>
      <c r="U94" s="6" t="s">
        <v>40</v>
      </c>
      <c r="V94" s="11"/>
    </row>
    <row r="95" spans="1:22" ht="23.25" customHeight="1" x14ac:dyDescent="0.2">
      <c r="A95" s="6">
        <v>94</v>
      </c>
      <c r="B95" s="6" t="s">
        <v>1116</v>
      </c>
      <c r="C95" s="6" t="s">
        <v>200</v>
      </c>
      <c r="D95" s="6" t="s">
        <v>1117</v>
      </c>
      <c r="E95" s="6" t="s">
        <v>132</v>
      </c>
      <c r="F95" s="11" t="s">
        <v>1118</v>
      </c>
      <c r="G95" s="6" t="s">
        <v>455</v>
      </c>
      <c r="H95" s="6" t="s">
        <v>456</v>
      </c>
      <c r="I95" s="6" t="s">
        <v>1119</v>
      </c>
      <c r="J95" s="6" t="s">
        <v>1120</v>
      </c>
      <c r="K95" s="6" t="s">
        <v>1121</v>
      </c>
      <c r="L95" s="6" t="s">
        <v>1122</v>
      </c>
      <c r="M95" s="6" t="s">
        <v>1123</v>
      </c>
      <c r="N95" s="6" t="s">
        <v>1124</v>
      </c>
      <c r="O95" s="11" t="s">
        <v>142</v>
      </c>
      <c r="P95" s="11" t="s">
        <v>143</v>
      </c>
      <c r="Q95" s="6" t="s">
        <v>37</v>
      </c>
      <c r="R95" s="12">
        <v>46245</v>
      </c>
      <c r="S95" s="6" t="s">
        <v>38</v>
      </c>
      <c r="T95" s="11" t="s">
        <v>1125</v>
      </c>
      <c r="U95" s="6" t="s">
        <v>40</v>
      </c>
      <c r="V95" s="11"/>
    </row>
    <row r="96" spans="1:22" ht="23.25" customHeight="1" x14ac:dyDescent="0.2">
      <c r="A96" s="6">
        <v>95</v>
      </c>
      <c r="B96" s="6" t="s">
        <v>1126</v>
      </c>
      <c r="C96" s="6" t="s">
        <v>200</v>
      </c>
      <c r="D96" s="6" t="s">
        <v>1127</v>
      </c>
      <c r="E96" s="6" t="s">
        <v>147</v>
      </c>
      <c r="F96" s="11" t="s">
        <v>1128</v>
      </c>
      <c r="G96" s="6" t="s">
        <v>60</v>
      </c>
      <c r="H96" s="6" t="s">
        <v>61</v>
      </c>
      <c r="I96" s="6" t="s">
        <v>1129</v>
      </c>
      <c r="J96" s="6" t="s">
        <v>1130</v>
      </c>
      <c r="K96" s="6" t="s">
        <v>1131</v>
      </c>
      <c r="L96" s="6" t="s">
        <v>1132</v>
      </c>
      <c r="M96" s="6" t="s">
        <v>1133</v>
      </c>
      <c r="N96" s="6" t="s">
        <v>1134</v>
      </c>
      <c r="O96" s="11" t="s">
        <v>1135</v>
      </c>
      <c r="P96" s="11" t="s">
        <v>1136</v>
      </c>
      <c r="Q96" s="6" t="s">
        <v>37</v>
      </c>
      <c r="R96" s="12">
        <v>46245</v>
      </c>
      <c r="S96" s="6" t="s">
        <v>38</v>
      </c>
      <c r="T96" s="11" t="s">
        <v>1137</v>
      </c>
      <c r="U96" s="6" t="s">
        <v>40</v>
      </c>
      <c r="V96" s="11"/>
    </row>
    <row r="97" spans="1:22" ht="23.25" customHeight="1" x14ac:dyDescent="0.2">
      <c r="A97" s="6">
        <v>96</v>
      </c>
      <c r="B97" s="6" t="s">
        <v>1138</v>
      </c>
      <c r="C97" s="6" t="s">
        <v>200</v>
      </c>
      <c r="D97" s="6" t="s">
        <v>1139</v>
      </c>
      <c r="E97" s="6" t="s">
        <v>162</v>
      </c>
      <c r="F97" s="11" t="s">
        <v>1140</v>
      </c>
      <c r="G97" s="6" t="s">
        <v>74</v>
      </c>
      <c r="H97" s="6" t="s">
        <v>75</v>
      </c>
      <c r="I97" s="6" t="s">
        <v>169</v>
      </c>
      <c r="J97" s="6" t="s">
        <v>1141</v>
      </c>
      <c r="K97" s="6" t="s">
        <v>1142</v>
      </c>
      <c r="L97" s="6" t="s">
        <v>1143</v>
      </c>
      <c r="M97" s="6" t="s">
        <v>1144</v>
      </c>
      <c r="N97" s="6" t="s">
        <v>1145</v>
      </c>
      <c r="O97" s="11" t="s">
        <v>1146</v>
      </c>
      <c r="P97" s="11" t="s">
        <v>69</v>
      </c>
      <c r="Q97" s="6" t="s">
        <v>37</v>
      </c>
      <c r="R97" s="12">
        <v>46245</v>
      </c>
      <c r="S97" s="6" t="s">
        <v>38</v>
      </c>
      <c r="T97" s="9" t="s">
        <v>1147</v>
      </c>
      <c r="U97" s="6" t="s">
        <v>40</v>
      </c>
      <c r="V97" s="11"/>
    </row>
    <row r="98" spans="1:22" ht="23.25" customHeight="1" x14ac:dyDescent="0.2">
      <c r="D98" s="4"/>
      <c r="E98" s="4"/>
      <c r="G98" s="4"/>
      <c r="H98" s="4"/>
      <c r="I98" s="4"/>
      <c r="J98" s="4"/>
      <c r="K98" s="4"/>
      <c r="L98" s="4"/>
      <c r="M98" s="4"/>
      <c r="Q98" s="4"/>
      <c r="S98" s="4"/>
    </row>
  </sheetData>
  <autoFilter ref="A1:V97" xr:uid="{00000000-0009-0000-0000-000000000000}"/>
  <hyperlinks>
    <hyperlink ref="P40" r:id="rId1" xr:uid="{00000000-0004-0000-0000-000000000000}"/>
    <hyperlink ref="P43" r:id="rId2" xr:uid="{00000000-0004-0000-0000-00000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zoomScaleNormal="100" workbookViewId="0"/>
  </sheetViews>
  <sheetFormatPr baseColWidth="10" defaultColWidth="8.6640625" defaultRowHeight="15" x14ac:dyDescent="0.2"/>
  <cols>
    <col min="1" max="1" width="24" customWidth="1"/>
    <col min="2" max="2" width="26" customWidth="1"/>
  </cols>
  <sheetData>
    <row r="1" spans="1:2" ht="15" customHeight="1" x14ac:dyDescent="0.2">
      <c r="A1" s="2" t="s">
        <v>1148</v>
      </c>
      <c r="B1" s="2"/>
    </row>
    <row r="2" spans="1:2" ht="15" customHeight="1" x14ac:dyDescent="0.2">
      <c r="A2" s="2"/>
      <c r="B2" s="2"/>
    </row>
    <row r="3" spans="1:2" ht="15" customHeight="1" x14ac:dyDescent="0.2">
      <c r="A3" s="2" t="s">
        <v>1149</v>
      </c>
      <c r="B3" s="2">
        <f>COUNTA(Puzzles!D2:D97)</f>
        <v>96</v>
      </c>
    </row>
    <row r="4" spans="1:2" ht="15" customHeight="1" x14ac:dyDescent="0.2">
      <c r="A4" s="2" t="s">
        <v>1150</v>
      </c>
      <c r="B4" s="2">
        <f>COUNTIF(Puzzles!S2:S97,"approved")</f>
        <v>96</v>
      </c>
    </row>
    <row r="5" spans="1:2" ht="15" customHeight="1" x14ac:dyDescent="0.2">
      <c r="A5" s="2" t="s">
        <v>1151</v>
      </c>
      <c r="B5" s="2">
        <f>COUNTIF(Puzzles!U2:U97,"No")</f>
        <v>33</v>
      </c>
    </row>
    <row r="6" spans="1:2" ht="15" customHeight="1" x14ac:dyDescent="0.2">
      <c r="A6" s="2" t="s">
        <v>1152</v>
      </c>
      <c r="B6" s="2" t="str">
        <f>Puzzles!B2&amp;" to "&amp;Puzzles!B97</f>
        <v>2026-08-20 to 2026-11-23</v>
      </c>
    </row>
    <row r="7" spans="1:2" ht="15" customHeight="1" x14ac:dyDescent="0.2">
      <c r="A7" s="2"/>
      <c r="B7" s="2"/>
    </row>
    <row r="8" spans="1:2" ht="15" customHeight="1" x14ac:dyDescent="0.2">
      <c r="A8" s="3" t="s">
        <v>1153</v>
      </c>
      <c r="B8" s="3" t="s">
        <v>1154</v>
      </c>
    </row>
    <row r="9" spans="1:2" ht="15" customHeight="1" x14ac:dyDescent="0.2">
      <c r="A9" s="2" t="s">
        <v>660</v>
      </c>
      <c r="B9" s="2">
        <f>COUNTIF(Puzzles!E2:E97,"art")</f>
        <v>2</v>
      </c>
    </row>
    <row r="10" spans="1:2" ht="15" customHeight="1" x14ac:dyDescent="0.2">
      <c r="A10" s="2" t="s">
        <v>43</v>
      </c>
      <c r="B10" s="2">
        <f>COUNTIF(Puzzles!E2:E97,"astronomy")</f>
        <v>6</v>
      </c>
    </row>
    <row r="11" spans="1:2" ht="15" customHeight="1" x14ac:dyDescent="0.2">
      <c r="A11" s="2" t="s">
        <v>58</v>
      </c>
      <c r="B11" s="2">
        <f>COUNTIF(Puzzles!E2:E97,"culture")</f>
        <v>4</v>
      </c>
    </row>
    <row r="12" spans="1:2" ht="15" customHeight="1" x14ac:dyDescent="0.2">
      <c r="A12" s="2" t="s">
        <v>574</v>
      </c>
      <c r="B12" s="2">
        <f>COUNTIF(Puzzles!E2:E97,"games")</f>
        <v>1</v>
      </c>
    </row>
    <row r="13" spans="1:2" ht="15" customHeight="1" x14ac:dyDescent="0.2">
      <c r="A13" s="2" t="s">
        <v>25</v>
      </c>
      <c r="B13" s="2">
        <f>COUNTIF(Puzzles!E2:E97,"geography")</f>
        <v>14</v>
      </c>
    </row>
    <row r="14" spans="1:2" ht="15" customHeight="1" x14ac:dyDescent="0.2">
      <c r="A14" s="2" t="s">
        <v>236</v>
      </c>
      <c r="B14" s="2">
        <f>COUNTIF(Puzzles!E2:E97,"geology")</f>
        <v>2</v>
      </c>
    </row>
    <row r="15" spans="1:2" ht="15" customHeight="1" x14ac:dyDescent="0.2">
      <c r="A15" s="2" t="s">
        <v>87</v>
      </c>
      <c r="B15" s="2">
        <f>COUNTIF(Puzzles!E2:E97,"history")</f>
        <v>14</v>
      </c>
    </row>
    <row r="16" spans="1:2" ht="15" customHeight="1" x14ac:dyDescent="0.2">
      <c r="A16" s="2" t="s">
        <v>877</v>
      </c>
      <c r="B16" s="2">
        <f>COUNTIF(Puzzles!E2:E97,"language")</f>
        <v>1</v>
      </c>
    </row>
    <row r="17" spans="1:2" ht="15" customHeight="1" x14ac:dyDescent="0.2">
      <c r="A17" s="2" t="s">
        <v>892</v>
      </c>
      <c r="B17" s="2">
        <f>COUNTIF(Puzzles!E2:E97,"literature")</f>
        <v>1</v>
      </c>
    </row>
    <row r="18" spans="1:2" ht="15" customHeight="1" x14ac:dyDescent="0.2">
      <c r="A18" s="2" t="s">
        <v>612</v>
      </c>
      <c r="B18" s="2">
        <f>COUNTIF(Puzzles!E2:E97,"mathematics")</f>
        <v>2</v>
      </c>
    </row>
    <row r="19" spans="1:2" ht="15" customHeight="1" x14ac:dyDescent="0.2">
      <c r="A19" s="2" t="s">
        <v>132</v>
      </c>
      <c r="B19" s="2">
        <f>COUNTIF(Puzzles!E2:E97,"measurement")</f>
        <v>7</v>
      </c>
    </row>
    <row r="20" spans="1:2" ht="15" customHeight="1" x14ac:dyDescent="0.2">
      <c r="A20" s="2" t="s">
        <v>147</v>
      </c>
      <c r="B20" s="2">
        <f>COUNTIF(Puzzles!E2:E97,"music")</f>
        <v>5</v>
      </c>
    </row>
    <row r="21" spans="1:2" ht="15" customHeight="1" x14ac:dyDescent="0.2">
      <c r="A21" s="2" t="s">
        <v>162</v>
      </c>
      <c r="B21" s="2">
        <f>COUNTIF(Puzzles!E2:E97,"nature")</f>
        <v>8</v>
      </c>
    </row>
    <row r="22" spans="1:2" ht="15" customHeight="1" x14ac:dyDescent="0.2">
      <c r="A22" s="2" t="s">
        <v>174</v>
      </c>
      <c r="B22" s="2">
        <f>COUNTIF(Puzzles!E2:E97,"science")</f>
        <v>19</v>
      </c>
    </row>
    <row r="23" spans="1:2" ht="15" customHeight="1" x14ac:dyDescent="0.2">
      <c r="A23" s="2" t="s">
        <v>561</v>
      </c>
      <c r="B23" s="2">
        <f>COUNTIF(Puzzles!E2:E97,"sport")</f>
        <v>4</v>
      </c>
    </row>
    <row r="24" spans="1:2" ht="15" customHeight="1" x14ac:dyDescent="0.2">
      <c r="A24" s="2" t="s">
        <v>117</v>
      </c>
      <c r="B24" s="2">
        <f>COUNTIF(Puzzles!E2:E97,"technology")</f>
        <v>4</v>
      </c>
    </row>
    <row r="25" spans="1:2" ht="15" customHeight="1" x14ac:dyDescent="0.2">
      <c r="A25" s="2" t="s">
        <v>600</v>
      </c>
      <c r="B25" s="2">
        <f>COUNTIF(Puzzles!E2:E97,"transport")</f>
        <v>1</v>
      </c>
    </row>
    <row r="26" spans="1:2" ht="15" customHeight="1" x14ac:dyDescent="0.2">
      <c r="A26" s="2" t="s">
        <v>1155</v>
      </c>
      <c r="B26" s="2">
        <f>SUM(B9:B25)</f>
        <v>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Puzzles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Vicki Shepherd</cp:lastModifiedBy>
  <cp:revision>0</cp:revision>
  <dcterms:created xsi:type="dcterms:W3CDTF">2026-06-04T14:41:35Z</dcterms:created>
  <dcterms:modified xsi:type="dcterms:W3CDTF">2026-08-20T19:00:10Z</dcterms:modified>
  <dc:language>en-US</dc:language>
</cp:coreProperties>
</file>